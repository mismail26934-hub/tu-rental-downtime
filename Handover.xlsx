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D:\Project\tu-rental\"/>
    </mc:Choice>
  </mc:AlternateContent>
  <xr:revisionPtr revIDLastSave="0" documentId="13_ncr:1_{2F7EEF10-AD94-46FD-8822-37651F7CD653}" xr6:coauthVersionLast="47" xr6:coauthVersionMax="47" xr10:uidLastSave="{00000000-0000-0000-0000-000000000000}"/>
  <bookViews>
    <workbookView xWindow="-120" yWindow="-120" windowWidth="20730" windowHeight="11040" xr2:uid="{E2FE22F9-8FB5-48AA-B2DD-CA23342AD772}"/>
  </bookViews>
  <sheets>
    <sheet name="06 Okt 2026 NS" sheetId="1" r:id="rId1"/>
    <sheet name="Sheet2" sheetId="3"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s>
  <definedNames>
    <definedName name="_______________________________________________________________________________wwp1">#REF!</definedName>
    <definedName name="_______________________________________________________________________________wwp2">#REF!</definedName>
    <definedName name="______________________________________________________________________________wwp1">#REF!</definedName>
    <definedName name="______________________________________________________________________________wwp2">#REF!</definedName>
    <definedName name="_____________________________________________________________________________wwp1">#REF!</definedName>
    <definedName name="_____________________________________________________________________________wwp2">#REF!</definedName>
    <definedName name="____________________________________________________________________________wwp1">#REF!</definedName>
    <definedName name="____________________________________________________________________________wwp2">#REF!</definedName>
    <definedName name="___________________________________________________________________________wwp1">#REF!</definedName>
    <definedName name="___________________________________________________________________________wwp2">#REF!</definedName>
    <definedName name="__________________________________________________________________________wwp1">#REF!</definedName>
    <definedName name="__________________________________________________________________________wwp2">#REF!</definedName>
    <definedName name="_________________________________________________________________________wwp1">#REF!</definedName>
    <definedName name="_________________________________________________________________________wwp2">#REF!</definedName>
    <definedName name="________________________________________________________________________wwp1">#REF!</definedName>
    <definedName name="________________________________________________________________________wwp2">#REF!</definedName>
    <definedName name="_______________________________________________________________________wwp1">#REF!</definedName>
    <definedName name="_______________________________________________________________________wwp2">#REF!</definedName>
    <definedName name="______________________________________________________________________wwp1">#REF!</definedName>
    <definedName name="______________________________________________________________________wwp2">#REF!</definedName>
    <definedName name="_____________________________________________________________________wwp1">#REF!</definedName>
    <definedName name="_____________________________________________________________________wwp2">#REF!</definedName>
    <definedName name="____________________________________________________________________wwp1">#REF!</definedName>
    <definedName name="____________________________________________________________________wwp2">#REF!</definedName>
    <definedName name="___________________________________________________________________wwp1">#REF!</definedName>
    <definedName name="___________________________________________________________________wwp2">#REF!</definedName>
    <definedName name="__________________________________________________________________wwp1">#REF!</definedName>
    <definedName name="__________________________________________________________________wwp2">#REF!</definedName>
    <definedName name="_________________________________________________________________wwp1">#REF!</definedName>
    <definedName name="_________________________________________________________________wwp2">#REF!</definedName>
    <definedName name="________________________________________________________________wwp1">#REF!</definedName>
    <definedName name="________________________________________________________________wwp2">#REF!</definedName>
    <definedName name="_______________________________________________________________wwp1">#REF!</definedName>
    <definedName name="_______________________________________________________________wwp2">#REF!</definedName>
    <definedName name="______________________________________________________________wwp1">#REF!</definedName>
    <definedName name="______________________________________________________________wwp2">#REF!</definedName>
    <definedName name="_____________________________________________________________wwp1">#REF!</definedName>
    <definedName name="_____________________________________________________________wwp2">#REF!</definedName>
    <definedName name="____________________________________________________________wwp1">#REF!</definedName>
    <definedName name="____________________________________________________________wwp2">#REF!</definedName>
    <definedName name="___________________________________________________________wwp1">#REF!</definedName>
    <definedName name="___________________________________________________________wwp2">#REF!</definedName>
    <definedName name="__________________________________________________________wwp1">#REF!</definedName>
    <definedName name="__________________________________________________________wwp2">#REF!</definedName>
    <definedName name="_________________________________________________________wwp1">#REF!</definedName>
    <definedName name="_________________________________________________________wwp2">#REF!</definedName>
    <definedName name="________________________________________________________wwp1">#REF!</definedName>
    <definedName name="________________________________________________________wwp2">#REF!</definedName>
    <definedName name="_______________________________________________________wwp1">#REF!</definedName>
    <definedName name="_______________________________________________________wwp2">#REF!</definedName>
    <definedName name="______________________________________________________wwp1">#REF!</definedName>
    <definedName name="______________________________________________________wwp2">#REF!</definedName>
    <definedName name="_____________________________________________________wwp1">#REF!</definedName>
    <definedName name="_____________________________________________________wwp2">#REF!</definedName>
    <definedName name="____________________________________________________wwp1">#REF!</definedName>
    <definedName name="____________________________________________________wwp2">#REF!</definedName>
    <definedName name="___________________________________________________wwp1">#REF!</definedName>
    <definedName name="___________________________________________________wwp2">#REF!</definedName>
    <definedName name="__________________________________________________wwp1">#REF!</definedName>
    <definedName name="__________________________________________________wwp2">#REF!</definedName>
    <definedName name="_________________________________________________wwp1">#REF!</definedName>
    <definedName name="_________________________________________________wwp2">#REF!</definedName>
    <definedName name="________________________________________________wwp1">#REF!</definedName>
    <definedName name="________________________________________________wwp2">#REF!</definedName>
    <definedName name="_______________________________________________wwp1">#REF!</definedName>
    <definedName name="_______________________________________________wwp2">#REF!</definedName>
    <definedName name="______________________________________________wwp1">#REF!</definedName>
    <definedName name="______________________________________________wwp2">#REF!</definedName>
    <definedName name="_____________________________________________wwp1">#REF!</definedName>
    <definedName name="_____________________________________________wwp2">#REF!</definedName>
    <definedName name="____________________________________________wwp1">#REF!</definedName>
    <definedName name="____________________________________________wwp2">#REF!</definedName>
    <definedName name="___________________________________________wwp1">#REF!</definedName>
    <definedName name="___________________________________________wwp2">#REF!</definedName>
    <definedName name="__________________________________________wwp1">#REF!</definedName>
    <definedName name="__________________________________________wwp2">#REF!</definedName>
    <definedName name="_________________________________________wwp1">#REF!</definedName>
    <definedName name="_________________________________________wwp2">#REF!</definedName>
    <definedName name="________________________________________wwp1">#REF!</definedName>
    <definedName name="________________________________________wwp2">#REF!</definedName>
    <definedName name="_______________________________________wwp1">#REF!</definedName>
    <definedName name="_______________________________________wwp2">#REF!</definedName>
    <definedName name="______________________________________wwp1">#REF!</definedName>
    <definedName name="______________________________________wwp2">#REF!</definedName>
    <definedName name="_____________________________________wwp1">#REF!</definedName>
    <definedName name="_____________________________________wwp2">#REF!</definedName>
    <definedName name="____________________________________wwp1">#REF!</definedName>
    <definedName name="____________________________________wwp2">#REF!</definedName>
    <definedName name="___________________________________wwp1">#REF!</definedName>
    <definedName name="___________________________________wwp2">#REF!</definedName>
    <definedName name="__________________________________wwp1">#REF!</definedName>
    <definedName name="__________________________________wwp2">#REF!</definedName>
    <definedName name="_________________________________wwp1">#REF!</definedName>
    <definedName name="_________________________________wwp2">#REF!</definedName>
    <definedName name="________________________________wwp1">#REF!</definedName>
    <definedName name="________________________________wwp2">#REF!</definedName>
    <definedName name="_______________________________wwp1">#REF!</definedName>
    <definedName name="_______________________________wwp2">#REF!</definedName>
    <definedName name="______________________________wwp1">#REF!</definedName>
    <definedName name="______________________________wwp2">#REF!</definedName>
    <definedName name="_____________________________wwp1">#REF!</definedName>
    <definedName name="_____________________________wwp2">#REF!</definedName>
    <definedName name="____________________________wwp1">#REF!</definedName>
    <definedName name="____________________________wwp2">#REF!</definedName>
    <definedName name="___________________________wwp1">#REF!</definedName>
    <definedName name="___________________________wwp2">#REF!</definedName>
    <definedName name="__________________________wwp1">#REF!</definedName>
    <definedName name="__________________________wwp2">#REF!</definedName>
    <definedName name="_________________________wwp1">#REF!</definedName>
    <definedName name="_________________________wwp2">#REF!</definedName>
    <definedName name="________________________wwp1">#REF!</definedName>
    <definedName name="________________________wwp2">#REF!</definedName>
    <definedName name="_______________________wwp1">#REF!</definedName>
    <definedName name="_______________________wwp2">#REF!</definedName>
    <definedName name="_____________________wwp1">#REF!</definedName>
    <definedName name="_____________________wwp2">#REF!</definedName>
    <definedName name="____________________wwp1">#REF!</definedName>
    <definedName name="____________________wwp2">#REF!</definedName>
    <definedName name="___________________wwp1">#REF!</definedName>
    <definedName name="___________________wwp2">#REF!</definedName>
    <definedName name="__________________wwp1">#REF!</definedName>
    <definedName name="__________________wwp2">#REF!</definedName>
    <definedName name="_________________wwp1">#REF!</definedName>
    <definedName name="_________________wwp2">#REF!</definedName>
    <definedName name="________________wwp1">#REF!</definedName>
    <definedName name="________________wwp2">#REF!</definedName>
    <definedName name="_______________wwp1">#REF!</definedName>
    <definedName name="_______________wwp2">#REF!</definedName>
    <definedName name="______________wwp1">#REF!</definedName>
    <definedName name="______________wwp2">#REF!</definedName>
    <definedName name="_____________wwp1">#REF!</definedName>
    <definedName name="_____________wwp2">#REF!</definedName>
    <definedName name="____________wwp1">#REF!</definedName>
    <definedName name="____________wwp2">#REF!</definedName>
    <definedName name="___________wwp1">#REF!</definedName>
    <definedName name="___________wwp2">#REF!</definedName>
    <definedName name="__________wwp1">#REF!</definedName>
    <definedName name="__________wwp2">#REF!</definedName>
    <definedName name="_________wwp1">#REF!</definedName>
    <definedName name="_________wwp2">#REF!</definedName>
    <definedName name="________wwp1">#REF!</definedName>
    <definedName name="________wwp2">#REF!</definedName>
    <definedName name="_______wwp1">#REF!</definedName>
    <definedName name="_______wwp2">#REF!</definedName>
    <definedName name="______wwp1">#REF!</definedName>
    <definedName name="______wwp2">#REF!</definedName>
    <definedName name="_____wwp1">#REF!</definedName>
    <definedName name="_____wwp2">#REF!</definedName>
    <definedName name="____wwp1">#REF!</definedName>
    <definedName name="____wwp2">#REF!</definedName>
    <definedName name="___wwp1">#REF!</definedName>
    <definedName name="___wwp2">#REF!</definedName>
    <definedName name="__wwp1">#REF!</definedName>
    <definedName name="__wwp2">#REF!</definedName>
    <definedName name="_wwp1">#REF!</definedName>
    <definedName name="_wwp2">#REF!</definedName>
    <definedName name="aa">#REF!</definedName>
    <definedName name="activity">#REF!</definedName>
    <definedName name="arif">[1]Judul!$O$2:$P$55</definedName>
    <definedName name="bandung">[2]Judul!$G$58:$G$91</definedName>
    <definedName name="bandung1">[2]Judul!$G$58:$G$108</definedName>
    <definedName name="bn">#REF!</definedName>
    <definedName name="cc">#REF!</definedName>
    <definedName name="coba">'[3]PLAN TASK'!$B$7:$F$65536</definedName>
    <definedName name="d">[4]Sheet3!$A$1:$C$80</definedName>
    <definedName name="draftw292015buma">#REF!</definedName>
    <definedName name="extend">[2]Overlap!$AB$5:$AB$65536</definedName>
    <definedName name="extend1">[2]Overlap!$AA$5:$AA$65536</definedName>
    <definedName name="GG">#REF!</definedName>
    <definedName name="harga">[3]SOURCE!$ES$2:$EX$65536</definedName>
    <definedName name="helmi">[2]Judul!$B$59:$C$175</definedName>
    <definedName name="helmi1">#REF!</definedName>
    <definedName name="helmi3">#REF!</definedName>
    <definedName name="helmi4">[3]SOURCE!$M:$ED</definedName>
    <definedName name="impact1">[2]Judul!$C$159:$D$162</definedName>
    <definedName name="jakarta">[2]Judul!$F$58:$F$108</definedName>
    <definedName name="jakarta1">[2]Judul!$F$58:$F$108</definedName>
    <definedName name="judul1">[2]Judul!$D$2:$F$57</definedName>
    <definedName name="KK">#REF!</definedName>
    <definedName name="loc">#REF!</definedName>
    <definedName name="machine">[5]Judul!$B$59:$C$97</definedName>
    <definedName name="machine1">[2]Judul!$B$59:$C$146</definedName>
    <definedName name="MEP">[3]SOURCE!$EL:$EN</definedName>
    <definedName name="mepbkj">[3]SOURCE!$EJ:$EK</definedName>
    <definedName name="model">[2]Judul!$B$58:$C$271</definedName>
    <definedName name="model1">[1]Judul!$B$58:$C$84</definedName>
    <definedName name="modelcek">'[3]PLAN TASK'!$F$7:$H$7</definedName>
    <definedName name="month">[2]WorkPlan2!#REF!</definedName>
    <definedName name="periode1">[2]Judul!$F$2:$K$56</definedName>
    <definedName name="periodeweekfix">[2]Judul!$F$2:$H$65536</definedName>
    <definedName name="plandown">[2]DailyWeeklyPlan!$B$4:$G$65536</definedName>
    <definedName name="plandown1">[6]DailyWeeklyPlan!$S$4:$T$65536</definedName>
    <definedName name="plandown10">[2]DailyWeeklyPlan!$S$3:$T$65536</definedName>
    <definedName name="plandown2">[7]DailyWeeklyPlan!$S$4:$T$65536</definedName>
    <definedName name="plandown3">[1]DailyWeeklyPlan!$S$3:$T$65536</definedName>
    <definedName name="plandown5">[8]DailyWeeklyPlan!$S$3:$T$65536</definedName>
    <definedName name="pmtypew25buma">#REF!</definedName>
    <definedName name="pp">#REF!</definedName>
    <definedName name="prev">[2]Overlap!$Z$5:$Z$65536</definedName>
    <definedName name="prev2">[2]Overlap!$Y$5:$Y$65536</definedName>
    <definedName name="price2">#REF!</definedName>
    <definedName name="sitejudul">[2]Judul!$A$151:$B$158</definedName>
    <definedName name="sko">[9]Sheet3!$A$1:$C$80</definedName>
    <definedName name="startdate">[2]Judul!#REF!</definedName>
    <definedName name="strategytask">[3]SOURCE!$A$1:$B$5000</definedName>
    <definedName name="vv">#REF!</definedName>
    <definedName name="week">'[3]PLAN TASK'!$I$7:$J$65536</definedName>
    <definedName name="wwp">[2]Overlap!#REF!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D33" i="1" l="1"/>
  <c r="E33" i="1"/>
  <c r="H33" i="1"/>
  <c r="N33" i="1"/>
  <c r="R33" i="1"/>
  <c r="S33" i="1" s="1"/>
  <c r="T33" i="1"/>
  <c r="R35" i="1"/>
  <c r="D2" i="3" l="1"/>
  <c r="E2" i="3" s="1"/>
  <c r="F2" i="3" s="1"/>
  <c r="G2" i="3" s="1"/>
  <c r="H2" i="3" s="1"/>
  <c r="D32" i="1"/>
  <c r="E32" i="1"/>
  <c r="H32" i="1"/>
  <c r="N32" i="1"/>
  <c r="R32" i="1"/>
  <c r="S32" i="1" s="1"/>
  <c r="T32" i="1"/>
  <c r="D31" i="1"/>
  <c r="E31" i="1"/>
  <c r="H31" i="1"/>
  <c r="N31" i="1"/>
  <c r="R31" i="1"/>
  <c r="S31" i="1" s="1"/>
  <c r="T31" i="1"/>
  <c r="T30" i="1"/>
  <c r="R30" i="1"/>
  <c r="S30" i="1" s="1"/>
  <c r="N30" i="1"/>
  <c r="H30" i="1"/>
  <c r="E30" i="1"/>
  <c r="D30" i="1"/>
  <c r="T29" i="1"/>
  <c r="R29" i="1"/>
  <c r="S29" i="1" s="1"/>
  <c r="N29" i="1"/>
  <c r="H29" i="1"/>
  <c r="E29" i="1"/>
  <c r="D29" i="1"/>
  <c r="T28" i="1"/>
  <c r="R28" i="1"/>
  <c r="S28" i="1" s="1"/>
  <c r="N28" i="1"/>
  <c r="H28" i="1"/>
  <c r="E28" i="1"/>
  <c r="D28" i="1"/>
  <c r="T27" i="1"/>
  <c r="R27" i="1"/>
  <c r="S27" i="1" s="1"/>
  <c r="N27" i="1"/>
  <c r="H27" i="1"/>
  <c r="E27" i="1"/>
  <c r="D27" i="1"/>
  <c r="T26" i="1"/>
  <c r="R26" i="1"/>
  <c r="S26" i="1" s="1"/>
  <c r="N26" i="1"/>
  <c r="H26" i="1"/>
  <c r="E26" i="1"/>
  <c r="D26" i="1"/>
  <c r="T25" i="1"/>
  <c r="R25" i="1"/>
  <c r="S25" i="1" s="1"/>
  <c r="N25" i="1"/>
  <c r="H25" i="1"/>
  <c r="E25" i="1"/>
  <c r="D25" i="1"/>
  <c r="T24" i="1"/>
  <c r="R24" i="1"/>
  <c r="S24" i="1" s="1"/>
  <c r="N24" i="1"/>
  <c r="H24" i="1"/>
  <c r="E24" i="1"/>
  <c r="D24" i="1"/>
  <c r="R17" i="1"/>
  <c r="S17" i="1" s="1"/>
  <c r="T17" i="1" s="1"/>
  <c r="N17" i="1"/>
  <c r="H17" i="1"/>
  <c r="E17" i="1"/>
  <c r="D17" i="1"/>
  <c r="R16" i="1"/>
  <c r="S16" i="1" s="1"/>
  <c r="T16" i="1" s="1"/>
  <c r="N16" i="1"/>
  <c r="H16" i="1"/>
  <c r="E16" i="1"/>
  <c r="D16" i="1"/>
  <c r="R15" i="1"/>
  <c r="S15" i="1" s="1"/>
  <c r="T15" i="1" s="1"/>
  <c r="N15" i="1"/>
  <c r="H15" i="1"/>
  <c r="E15" i="1"/>
  <c r="D15" i="1"/>
  <c r="R14" i="1"/>
  <c r="S14" i="1" s="1"/>
  <c r="T14" i="1" s="1"/>
  <c r="N14" i="1"/>
  <c r="H14" i="1"/>
  <c r="E14" i="1"/>
  <c r="D14" i="1"/>
  <c r="T13" i="1"/>
  <c r="R13" i="1"/>
  <c r="S13" i="1" s="1"/>
  <c r="N13" i="1"/>
  <c r="H13" i="1"/>
  <c r="E13" i="1"/>
  <c r="D13" i="1"/>
  <c r="R12" i="1"/>
  <c r="S12" i="1" s="1"/>
  <c r="T12" i="1" s="1"/>
  <c r="N12" i="1"/>
  <c r="H12" i="1"/>
  <c r="E12" i="1"/>
  <c r="D12" i="1"/>
  <c r="T11" i="1"/>
  <c r="R11" i="1"/>
  <c r="S11" i="1" s="1"/>
  <c r="N11" i="1"/>
  <c r="H11" i="1"/>
  <c r="E11" i="1"/>
  <c r="D11" i="1"/>
  <c r="R10" i="1"/>
  <c r="S10" i="1" s="1"/>
  <c r="T10" i="1" s="1"/>
  <c r="N10" i="1"/>
  <c r="H10" i="1"/>
  <c r="E10" i="1"/>
  <c r="D10" i="1"/>
  <c r="T9" i="1"/>
  <c r="R9" i="1"/>
  <c r="S9" i="1" s="1"/>
  <c r="N9" i="1"/>
  <c r="H9" i="1"/>
  <c r="E9" i="1"/>
  <c r="D9" i="1"/>
  <c r="T8" i="1"/>
  <c r="R8" i="1"/>
  <c r="S8" i="1" s="1"/>
  <c r="N8" i="1"/>
  <c r="H8" i="1"/>
  <c r="E8" i="1"/>
  <c r="D8" i="1"/>
  <c r="T7" i="1"/>
  <c r="R7" i="1"/>
  <c r="S7" i="1" s="1"/>
  <c r="N7" i="1"/>
  <c r="H7" i="1"/>
  <c r="E7" i="1"/>
  <c r="D7" i="1"/>
  <c r="T6" i="1"/>
  <c r="R6" i="1"/>
  <c r="S6" i="1" s="1"/>
  <c r="N6" i="1"/>
  <c r="H6" i="1"/>
  <c r="E6" i="1"/>
  <c r="D6" i="1"/>
  <c r="K2" i="1"/>
</calcChain>
</file>

<file path=xl/sharedStrings.xml><?xml version="1.0" encoding="utf-8"?>
<sst xmlns="http://schemas.openxmlformats.org/spreadsheetml/2006/main" count="112" uniqueCount="83">
  <si>
    <t>x</t>
  </si>
  <si>
    <r>
      <rPr>
        <b/>
        <sz val="14"/>
        <color theme="9"/>
        <rFont val="Arial"/>
        <family val="2"/>
      </rPr>
      <t>▼</t>
    </r>
    <r>
      <rPr>
        <b/>
        <sz val="14"/>
        <color theme="1"/>
        <rFont val="Arial"/>
        <family val="2"/>
      </rPr>
      <t>NOW</t>
    </r>
    <r>
      <rPr>
        <b/>
        <sz val="14"/>
        <color theme="9"/>
        <rFont val="Arial"/>
        <family val="2"/>
      </rPr>
      <t>▼</t>
    </r>
  </si>
  <si>
    <t>Crew</t>
  </si>
  <si>
    <t>Unit</t>
  </si>
  <si>
    <t>Equipment Type</t>
  </si>
  <si>
    <t>USER MSD/MOD</t>
  </si>
  <si>
    <t>Location</t>
  </si>
  <si>
    <t>Technician</t>
  </si>
  <si>
    <t>Status</t>
  </si>
  <si>
    <t>Time (dd-mmm-yy hh:mm)</t>
  </si>
  <si>
    <t>Hours Meter (HM)</t>
  </si>
  <si>
    <t>Remark Problem to Action</t>
  </si>
  <si>
    <t>Output Time</t>
  </si>
  <si>
    <t>Waiting Labour</t>
  </si>
  <si>
    <t>Repair Time</t>
  </si>
  <si>
    <t>RD30</t>
  </si>
  <si>
    <t>HM awal</t>
  </si>
  <si>
    <t>HM akhir</t>
  </si>
  <si>
    <t>ERDM</t>
  </si>
  <si>
    <t>Breakdown Problem</t>
  </si>
  <si>
    <t>Done / Action</t>
  </si>
  <si>
    <t>Continue / Handover job</t>
  </si>
  <si>
    <t>Repair time</t>
  </si>
  <si>
    <t>DT Total</t>
  </si>
  <si>
    <t>User</t>
  </si>
  <si>
    <t>HM Akhir</t>
  </si>
  <si>
    <t>Continue / Handover Job</t>
  </si>
  <si>
    <t>Wait Labour</t>
  </si>
  <si>
    <t>Repair Time2</t>
  </si>
  <si>
    <t>DT TOTAL</t>
  </si>
  <si>
    <t>B</t>
  </si>
  <si>
    <t>RT410</t>
  </si>
  <si>
    <t>TU Shop</t>
  </si>
  <si>
    <t>Suspension leak</t>
  </si>
  <si>
    <t>RB3011</t>
  </si>
  <si>
    <t>BITU</t>
  </si>
  <si>
    <t>Track stuck/RH IDLER BROKEN</t>
  </si>
  <si>
    <t>RB2023</t>
  </si>
  <si>
    <t>Bucket worn out + PM1000</t>
  </si>
  <si>
    <t>RBA002</t>
  </si>
  <si>
    <t>Hyd oil level low</t>
  </si>
  <si>
    <t>RS501</t>
  </si>
  <si>
    <t>Hyd oil temp high</t>
  </si>
  <si>
    <t xml:space="preserve"> -Replace coupling circulation pump
-Reseal circulation pump.
-Performance test 
-Install cover &amp; floor
-Final check</t>
  </si>
  <si>
    <t xml:space="preserve">temuan pump hyd circulation dan motor leak.
Pump Gp. PN.4794691 tidak ada stock nya, 
Opsi tercepat pump di reseal
Seal lip type PN.4693855 stock ada di SMD
Motor Gp. PN.4794692 stock terdekat di site Tabang
Opsi tercepat di reseal
Kit seal PN.4794623 stock ada di bengalon &amp; SMD
</t>
  </si>
  <si>
    <t>RT409</t>
  </si>
  <si>
    <t>S/C Taipur</t>
  </si>
  <si>
    <t>Exhaust temp high</t>
  </si>
  <si>
    <t>RB3012</t>
  </si>
  <si>
    <t>Pin track link loose</t>
  </si>
  <si>
    <t>Reposition RH/LH master pin &amp; welding</t>
  </si>
  <si>
    <t>RB3019</t>
  </si>
  <si>
    <t>Low/Pad Layang</t>
  </si>
  <si>
    <t>Hyd oil leak</t>
  </si>
  <si>
    <t>RB2032</t>
  </si>
  <si>
    <t>Horn problem</t>
  </si>
  <si>
    <t>Repair harness horn to bcm</t>
  </si>
  <si>
    <t>RB2017</t>
  </si>
  <si>
    <t>SPE B5003</t>
  </si>
  <si>
    <t>Bracket hose arm loose</t>
  </si>
  <si>
    <t>Repair temporary bracket Grease injecto</t>
  </si>
  <si>
    <t>RT408</t>
  </si>
  <si>
    <t>Engine low power</t>
  </si>
  <si>
    <t>Check event found payload overload 128</t>
  </si>
  <si>
    <t>RT405</t>
  </si>
  <si>
    <t>Sign lamp off</t>
  </si>
  <si>
    <t>Repair harness sign lamp</t>
  </si>
  <si>
    <t>Today</t>
  </si>
  <si>
    <t>End of Month</t>
  </si>
  <si>
    <t>Total days</t>
  </si>
  <si>
    <t>Jam / day</t>
  </si>
  <si>
    <t>Total Unit</t>
  </si>
  <si>
    <t>Jam / day * Total days</t>
  </si>
  <si>
    <t>PA 12%</t>
  </si>
  <si>
    <t>D</t>
  </si>
  <si>
    <t>W</t>
  </si>
  <si>
    <t>M</t>
  </si>
  <si>
    <t>S</t>
  </si>
  <si>
    <t>Model</t>
  </si>
  <si>
    <t>Kuota downtime</t>
  </si>
  <si>
    <t>Daily</t>
  </si>
  <si>
    <t>MTD</t>
  </si>
  <si>
    <t>WTD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</si>
</sst>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dd\-mmm\-yy\ \ \ hh:mm"/>
    <numFmt numFmtId="165" formatCode="#,##0.0"/>
    <numFmt numFmtId="166" formatCode="dd\-mmm\-yy\ hh:mm"/>
    <numFmt numFmtId="169" formatCode="m/d/yyyy\ hh:mm"/>
  </numFmts>
  <fonts count="12" x14ac:knownFonts="1">
    <font>
      <sz val="11"/>
      <color theme="1"/>
      <name val="Aptos Narrow"/>
      <family val="2"/>
      <scheme val="minor"/>
    </font>
    <font>
      <sz val="11"/>
      <color theme="1"/>
      <name val="Aptos Narrow"/>
      <family val="2"/>
      <scheme val="minor"/>
    </font>
    <font>
      <b/>
      <sz val="11"/>
      <color theme="0"/>
      <name val="Aptos Narrow"/>
      <family val="2"/>
      <scheme val="minor"/>
    </font>
    <font>
      <sz val="10"/>
      <color theme="1"/>
      <name val="Arial"/>
      <family val="2"/>
    </font>
    <font>
      <b/>
      <sz val="14"/>
      <color theme="1"/>
      <name val="Arial"/>
      <family val="2"/>
    </font>
    <font>
      <b/>
      <sz val="14"/>
      <color theme="9"/>
      <name val="Arial"/>
      <family val="2"/>
    </font>
    <font>
      <b/>
      <sz val="10"/>
      <color theme="1"/>
      <name val="Calibri"/>
      <family val="2"/>
    </font>
    <font>
      <b/>
      <sz val="14"/>
      <name val="Arial"/>
      <family val="2"/>
    </font>
    <font>
      <b/>
      <sz val="11"/>
      <name val="Arial"/>
      <family val="2"/>
    </font>
    <font>
      <b/>
      <sz val="11"/>
      <color theme="1"/>
      <name val="Arial"/>
      <family val="2"/>
    </font>
    <font>
      <b/>
      <sz val="11"/>
      <color theme="0" tint="-0.249977111117893"/>
      <name val="Arial"/>
      <family val="2"/>
    </font>
    <font>
      <b/>
      <sz val="11"/>
      <color theme="1"/>
      <name val="Aptos Narrow"/>
      <family val="2"/>
      <scheme val="minor"/>
    </font>
  </fonts>
  <fills count="6">
    <fill>
      <patternFill patternType="none"/>
    </fill>
    <fill>
      <patternFill patternType="gray125"/>
    </fill>
    <fill>
      <patternFill patternType="solid">
        <fgColor rgb="FFFFFF00"/>
        <bgColor indexed="64"/>
      </patternFill>
    </fill>
    <fill>
      <patternFill patternType="solid">
        <fgColor theme="0" tint="-0.249977111117893"/>
        <bgColor indexed="64"/>
      </patternFill>
    </fill>
    <fill>
      <patternFill patternType="solid">
        <fgColor theme="6" tint="0.59999389629810485"/>
        <bgColor indexed="64"/>
      </patternFill>
    </fill>
    <fill>
      <patternFill patternType="solid">
        <fgColor theme="0"/>
        <bgColor indexed="64"/>
      </patternFill>
    </fill>
  </fills>
  <borders count="10">
    <border>
      <left/>
      <right/>
      <top/>
      <bottom/>
      <diagonal/>
    </border>
    <border>
      <left style="medium">
        <color auto="1"/>
      </left>
      <right style="medium">
        <color auto="1"/>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bottom style="medium">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2">
    <xf numFmtId="0" fontId="0" fillId="0" borderId="0"/>
    <xf numFmtId="0" fontId="1" fillId="0" borderId="0"/>
  </cellStyleXfs>
  <cellXfs count="58">
    <xf numFmtId="0" fontId="0" fillId="0" borderId="0" xfId="0"/>
    <xf numFmtId="0" fontId="3" fillId="0" borderId="0" xfId="1" applyFont="1" applyAlignment="1">
      <alignment horizontal="center" vertical="center"/>
    </xf>
    <xf numFmtId="0" fontId="3" fillId="0" borderId="0" xfId="1" applyFont="1" applyAlignment="1">
      <alignment horizontal="center" vertical="center" wrapText="1"/>
    </xf>
    <xf numFmtId="164" fontId="3" fillId="0" borderId="0" xfId="1" applyNumberFormat="1" applyFont="1" applyAlignment="1">
      <alignment horizontal="center" vertical="center"/>
    </xf>
    <xf numFmtId="164" fontId="4" fillId="2" borderId="0" xfId="1" applyNumberFormat="1" applyFont="1" applyFill="1" applyAlignment="1">
      <alignment horizontal="center" vertical="center"/>
    </xf>
    <xf numFmtId="164" fontId="6" fillId="0" borderId="0" xfId="1" applyNumberFormat="1" applyFont="1" applyAlignment="1">
      <alignment horizontal="center" vertical="center"/>
    </xf>
    <xf numFmtId="165" fontId="3" fillId="0" borderId="0" xfId="1" applyNumberFormat="1" applyFont="1" applyAlignment="1">
      <alignment horizontal="center" vertical="center"/>
    </xf>
    <xf numFmtId="2" fontId="3" fillId="0" borderId="0" xfId="1" applyNumberFormat="1" applyFont="1" applyAlignment="1">
      <alignment horizontal="center" vertical="center"/>
    </xf>
    <xf numFmtId="0" fontId="3" fillId="0" borderId="0" xfId="1" applyFont="1"/>
    <xf numFmtId="0" fontId="1" fillId="0" borderId="0" xfId="1" applyAlignment="1">
      <alignment vertical="center"/>
    </xf>
    <xf numFmtId="0" fontId="1" fillId="0" borderId="0" xfId="1" applyAlignment="1">
      <alignment horizontal="center" vertical="center"/>
    </xf>
    <xf numFmtId="0" fontId="1" fillId="0" borderId="0" xfId="1" applyAlignment="1">
      <alignment horizontal="center" vertical="center" wrapText="1"/>
    </xf>
    <xf numFmtId="0" fontId="1" fillId="0" borderId="0" xfId="1"/>
    <xf numFmtId="166" fontId="7" fillId="2" borderId="0" xfId="1" applyNumberFormat="1" applyFont="1" applyFill="1" applyAlignment="1">
      <alignment horizontal="center" vertical="center"/>
    </xf>
    <xf numFmtId="49" fontId="1" fillId="0" borderId="0" xfId="1" applyNumberFormat="1"/>
    <xf numFmtId="2" fontId="2" fillId="0" borderId="0" xfId="1" applyNumberFormat="1" applyFont="1" applyAlignment="1">
      <alignment horizontal="center" vertical="center"/>
    </xf>
    <xf numFmtId="2" fontId="1" fillId="0" borderId="0" xfId="1" applyNumberFormat="1"/>
    <xf numFmtId="0" fontId="9" fillId="4" borderId="2" xfId="1" applyFont="1" applyFill="1" applyBorder="1" applyAlignment="1">
      <alignment horizontal="center" vertical="center"/>
    </xf>
    <xf numFmtId="0" fontId="9" fillId="4" borderId="3" xfId="1" applyFont="1" applyFill="1" applyBorder="1" applyAlignment="1">
      <alignment horizontal="center" vertical="center"/>
    </xf>
    <xf numFmtId="0" fontId="9" fillId="4" borderId="4" xfId="1" applyFont="1" applyFill="1" applyBorder="1" applyAlignment="1">
      <alignment horizontal="center" vertical="center"/>
    </xf>
    <xf numFmtId="49" fontId="9" fillId="4" borderId="2" xfId="1" applyNumberFormat="1" applyFont="1" applyFill="1" applyBorder="1" applyAlignment="1">
      <alignment horizontal="center" vertical="center"/>
    </xf>
    <xf numFmtId="49" fontId="9" fillId="4" borderId="3" xfId="1" applyNumberFormat="1" applyFont="1" applyFill="1" applyBorder="1" applyAlignment="1">
      <alignment horizontal="center" vertical="center"/>
    </xf>
    <xf numFmtId="2" fontId="9" fillId="4" borderId="4" xfId="1" applyNumberFormat="1" applyFont="1" applyFill="1" applyBorder="1" applyAlignment="1">
      <alignment horizontal="center" vertical="center"/>
    </xf>
    <xf numFmtId="2" fontId="9" fillId="4" borderId="2" xfId="1" applyNumberFormat="1" applyFont="1" applyFill="1" applyBorder="1" applyAlignment="1">
      <alignment horizontal="center" vertical="center"/>
    </xf>
    <xf numFmtId="2" fontId="9" fillId="4" borderId="3" xfId="1" applyNumberFormat="1" applyFont="1" applyFill="1" applyBorder="1" applyAlignment="1">
      <alignment horizontal="center" vertical="center"/>
    </xf>
    <xf numFmtId="0" fontId="9" fillId="0" borderId="0" xfId="1" applyFont="1" applyAlignment="1">
      <alignment horizontal="center" vertical="center"/>
    </xf>
    <xf numFmtId="0" fontId="8" fillId="3" borderId="6" xfId="1" applyFont="1" applyFill="1" applyBorder="1" applyAlignment="1">
      <alignment horizontal="center" vertical="center"/>
    </xf>
    <xf numFmtId="2" fontId="8" fillId="3" borderId="6" xfId="1" applyNumberFormat="1" applyFont="1" applyFill="1" applyBorder="1" applyAlignment="1">
      <alignment horizontal="center" vertical="center"/>
    </xf>
    <xf numFmtId="0" fontId="10" fillId="3" borderId="7" xfId="1" applyFont="1" applyFill="1" applyBorder="1" applyAlignment="1">
      <alignment horizontal="center" vertical="center"/>
    </xf>
    <xf numFmtId="0" fontId="10" fillId="3" borderId="7" xfId="1" applyFont="1" applyFill="1" applyBorder="1" applyAlignment="1">
      <alignment horizontal="center" vertical="center" wrapText="1"/>
    </xf>
    <xf numFmtId="2" fontId="10" fillId="3" borderId="7" xfId="1" applyNumberFormat="1" applyFont="1" applyFill="1" applyBorder="1" applyAlignment="1">
      <alignment horizontal="center" vertical="center"/>
    </xf>
    <xf numFmtId="0" fontId="9" fillId="5" borderId="0" xfId="1" applyFont="1" applyFill="1" applyAlignment="1">
      <alignment horizontal="center" vertical="center"/>
    </xf>
    <xf numFmtId="0" fontId="3" fillId="0" borderId="8" xfId="1" applyFont="1" applyBorder="1" applyAlignment="1">
      <alignment horizontal="center" vertical="center"/>
    </xf>
    <xf numFmtId="0" fontId="3" fillId="0" borderId="8" xfId="1" applyFont="1" applyBorder="1" applyAlignment="1">
      <alignment horizontal="center" vertical="center" wrapText="1"/>
    </xf>
    <xf numFmtId="164" fontId="3" fillId="0" borderId="8" xfId="1" applyNumberFormat="1" applyFont="1" applyBorder="1" applyAlignment="1">
      <alignment horizontal="center" vertical="center"/>
    </xf>
    <xf numFmtId="165" fontId="3" fillId="0" borderId="8" xfId="1" applyNumberFormat="1" applyFont="1" applyBorder="1" applyAlignment="1">
      <alignment horizontal="center" vertical="center"/>
    </xf>
    <xf numFmtId="164" fontId="3" fillId="0" borderId="8" xfId="1" applyNumberFormat="1" applyFont="1" applyBorder="1" applyAlignment="1">
      <alignment horizontal="center" vertical="center" wrapText="1"/>
    </xf>
    <xf numFmtId="2" fontId="3" fillId="0" borderId="8" xfId="1" applyNumberFormat="1" applyFont="1" applyBorder="1" applyAlignment="1">
      <alignment horizontal="center" vertical="center"/>
    </xf>
    <xf numFmtId="0" fontId="8" fillId="3" borderId="1" xfId="1" applyFont="1" applyFill="1" applyBorder="1" applyAlignment="1">
      <alignment horizontal="center" vertical="center"/>
    </xf>
    <xf numFmtId="0" fontId="8" fillId="3" borderId="5" xfId="1" applyFont="1" applyFill="1" applyBorder="1" applyAlignment="1">
      <alignment horizontal="center" vertical="center"/>
    </xf>
    <xf numFmtId="164" fontId="8" fillId="3" borderId="1" xfId="1" applyNumberFormat="1" applyFont="1" applyFill="1" applyBorder="1" applyAlignment="1">
      <alignment horizontal="center" vertical="center" wrapText="1"/>
    </xf>
    <xf numFmtId="164" fontId="8" fillId="3" borderId="5" xfId="1" applyNumberFormat="1" applyFont="1" applyFill="1" applyBorder="1" applyAlignment="1">
      <alignment horizontal="center" vertical="center" wrapText="1"/>
    </xf>
    <xf numFmtId="0" fontId="8" fillId="3" borderId="1" xfId="1" applyFont="1" applyFill="1" applyBorder="1" applyAlignment="1">
      <alignment horizontal="center" vertical="center" wrapText="1"/>
    </xf>
    <xf numFmtId="0" fontId="8" fillId="3" borderId="5" xfId="1" applyFont="1" applyFill="1" applyBorder="1" applyAlignment="1">
      <alignment horizontal="center" vertical="center" wrapText="1"/>
    </xf>
    <xf numFmtId="0" fontId="3" fillId="0" borderId="0" xfId="1" applyFont="1" applyBorder="1" applyAlignment="1">
      <alignment horizontal="center" vertical="center"/>
    </xf>
    <xf numFmtId="0" fontId="3" fillId="0" borderId="0" xfId="1" applyNumberFormat="1" applyFont="1" applyBorder="1" applyAlignment="1">
      <alignment horizontal="center" vertical="center"/>
    </xf>
    <xf numFmtId="0" fontId="3" fillId="0" borderId="0" xfId="1" applyFont="1" applyBorder="1" applyAlignment="1">
      <alignment horizontal="center" vertical="center" wrapText="1"/>
    </xf>
    <xf numFmtId="164" fontId="3" fillId="0" borderId="0" xfId="1" applyNumberFormat="1" applyFont="1" applyBorder="1" applyAlignment="1">
      <alignment horizontal="center" vertical="center"/>
    </xf>
    <xf numFmtId="165" fontId="3" fillId="0" borderId="0" xfId="1" applyNumberFormat="1" applyFont="1" applyBorder="1" applyAlignment="1">
      <alignment horizontal="center" vertical="center"/>
    </xf>
    <xf numFmtId="0" fontId="3" fillId="0" borderId="0" xfId="1" applyNumberFormat="1" applyFont="1" applyFill="1" applyBorder="1" applyAlignment="1">
      <alignment horizontal="center" vertical="center"/>
    </xf>
    <xf numFmtId="0" fontId="3" fillId="0" borderId="9" xfId="1" applyFont="1" applyFill="1" applyBorder="1" applyAlignment="1">
      <alignment horizontal="center" vertical="center"/>
    </xf>
    <xf numFmtId="164" fontId="3" fillId="0" borderId="9" xfId="1" applyNumberFormat="1" applyFont="1" applyFill="1" applyBorder="1" applyAlignment="1">
      <alignment horizontal="center" vertical="center"/>
    </xf>
    <xf numFmtId="164" fontId="3" fillId="0" borderId="9" xfId="1" applyNumberFormat="1" applyFont="1" applyBorder="1" applyAlignment="1">
      <alignment horizontal="center" vertical="center"/>
    </xf>
    <xf numFmtId="2" fontId="3" fillId="0" borderId="9" xfId="1" applyNumberFormat="1" applyFont="1" applyBorder="1" applyAlignment="1">
      <alignment horizontal="center" vertical="center"/>
    </xf>
    <xf numFmtId="14" fontId="0" fillId="0" borderId="0" xfId="0" applyNumberFormat="1"/>
    <xf numFmtId="0" fontId="11" fillId="0" borderId="0" xfId="0" applyFont="1"/>
    <xf numFmtId="9" fontId="11" fillId="0" borderId="0" xfId="0" applyNumberFormat="1" applyFont="1"/>
    <xf numFmtId="169" fontId="3" fillId="0" borderId="0" xfId="1" applyNumberFormat="1" applyFont="1" applyAlignment="1">
      <alignment horizontal="center" vertical="center"/>
    </xf>
  </cellXfs>
  <cellStyles count="2">
    <cellStyle name="Normal" xfId="0" builtinId="0"/>
    <cellStyle name="Normal 3 2 2" xfId="1" xr:uid="{79F0344C-C070-4B51-AF87-E9DE45964FA4}"/>
  </cellStyles>
  <dxfs count="13">
    <dxf>
      <font>
        <b/>
        <i val="0"/>
        <color rgb="FFFFFF00"/>
      </font>
      <fill>
        <patternFill patternType="solid">
          <fgColor rgb="FFFF0000"/>
          <bgColor rgb="FFFF0000"/>
        </patternFill>
      </fill>
    </dxf>
    <dxf>
      <font>
        <b/>
        <i val="0"/>
        <color auto="1"/>
      </font>
      <fill>
        <patternFill patternType="solid">
          <fgColor rgb="FFFFFF00"/>
          <bgColor rgb="FFFFFF00"/>
        </patternFill>
      </fill>
    </dxf>
    <dxf>
      <font>
        <b/>
        <i val="0"/>
      </font>
      <fill>
        <patternFill patternType="solid">
          <fgColor rgb="FF99FF99"/>
          <bgColor rgb="FF99FF99"/>
        </patternFill>
      </fill>
    </dxf>
    <dxf>
      <font>
        <b/>
        <i val="0"/>
        <color theme="0"/>
      </font>
    </dxf>
    <dxf>
      <numFmt numFmtId="2" formatCode="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rial"/>
        <family val="2"/>
        <scheme val="none"/>
      </font>
      <numFmt numFmtId="164" formatCode="dd\-mmm\-yy\ \ \ hh:mm"/>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rial"/>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fill>
        <patternFill patternType="none">
          <fgColor indexed="64"/>
          <bgColor auto="1"/>
        </patternFill>
      </fill>
    </dxf>
    <dxf>
      <alignment horizontal="center" textRotation="0" wrapText="1" indent="0" justifyLastLine="0" shrinkToFit="0" readingOrder="0"/>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theme" Target="theme/theme1.xml"/><Relationship Id="rId3" Type="http://schemas.openxmlformats.org/officeDocument/2006/relationships/externalLink" Target="externalLinks/externalLink1.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5" Type="http://schemas.openxmlformats.org/officeDocument/2006/relationships/externalLink" Target="externalLinks/externalLink3.xml"/><Relationship Id="rId15" Type="http://schemas.openxmlformats.org/officeDocument/2006/relationships/sharedStrings" Target="sharedStrings.xml"/><Relationship Id="rId10" Type="http://schemas.openxmlformats.org/officeDocument/2006/relationships/externalLink" Target="externalLinks/externalLink8.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vstore2\1.5%20Planning\12.%20TSS\12.%20TSS%20_SUKABUMI\11.%20Auto%20WWP\Auto%20Gen%20TSS_REV_05.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vstore2\1.5%20Planning\10.%20SKO\06.%20WEEKLY%20WORK%20PLAN\2016\Auto%20Gen%20SKO_REV_05.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10.1.2.244\01.EM_Repository\1.5%20Planning\01.%20TANJUNG%20SIS\07.%20PART\04.%20Update_Cek_Parts_Avl_Short_Term_Master_SIS_Rev04.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10.1.2.244\01.EM_Repository\My%20Document\56.%20Cek%20Part%20AVL%20TTD\f_cast_KAL_SKO_20170822_CK6030.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10.1.3.54\ems_repository\Documents%20and%20Settings\xupj21bpw\Desktop\AUTO%20GENERATE%20WWP\Auto%20Gen%20BKJ_BUMA_REV_05.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10.1.3.54\ems_repository\Planning\14.%20PLANNING%20INFORMATION\03.%20PLANNING%20PROJECTS\15.%20AUTO%20WEEKLY%20PLAN\08.%20BKJ%20SJK\Auto%20Gen%20BKJ_SJK_REV_05.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10.1.3.54\ems_repository\40.%20WWP%20Auto%20Gen\01.%20LATI\03.%20Auto%20Gen%20LATI_REV_04.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10.1.3.54\ems_repository\40.%20WWP%20Auto%20Gen\03.%20BHJ\03.%20Auto%20Gen%20BHJ_REV_04.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10.1.2.244\01.EM_Repository\1.5%20Planning\01.%20TANJUNG%20SIS\07.%20PART\SKO_ICS_Summary.xls" TargetMode="External"/></Relationships>
</file>

<file path=xl/externalLinks/_rels/externalLink10.xml.rels><?xml version="1.0" encoding="UTF-8" standalone="yes"?>
<Relationships xmlns="http://schemas.openxmlformats.org/package/2006/relationships"><Relationship Id="rId2" Type="http://schemas.openxmlformats.org/officeDocument/2006/relationships/externalLinkPath" Target="file:///D:\Users\pradifta.s.putra\Downloads\01.%20Database%20Source.xlsx" TargetMode="External"/><Relationship Id="rId1" Type="http://schemas.openxmlformats.org/officeDocument/2006/relationships/externalLinkPath" Target="https://tmtgroup-my.sharepoint.com/Users/pradifta.s.putra/Downloads/01.%20Database%20Sourc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utorial"/>
      <sheetName val="WorkPlan2"/>
      <sheetName val="DailyWeeklyPlan"/>
      <sheetName val="WWP Report"/>
      <sheetName val="DDTL"/>
      <sheetName val="773E"/>
      <sheetName val="988H"/>
      <sheetName val="Overlap"/>
      <sheetName val="UNA773E"/>
      <sheetName val="UNA988H"/>
      <sheetName val="Pre_GantChart"/>
      <sheetName val="GantChart"/>
      <sheetName val="Judul"/>
    </sheetNames>
    <sheetDataSet>
      <sheetData sheetId="0"/>
      <sheetData sheetId="1"/>
      <sheetData sheetId="2">
        <row r="3">
          <cell r="B3" t="str">
            <v>F1W03</v>
          </cell>
          <cell r="S3" t="str">
            <v>YTSF1W03 - W21</v>
          </cell>
          <cell r="T3">
            <v>0</v>
          </cell>
        </row>
        <row r="4">
          <cell r="S4" t="str">
            <v xml:space="preserve"> - </v>
          </cell>
          <cell r="T4">
            <v>0</v>
          </cell>
        </row>
        <row r="5">
          <cell r="S5" t="str">
            <v xml:space="preserve"> - </v>
          </cell>
          <cell r="T5">
            <v>0</v>
          </cell>
        </row>
        <row r="6">
          <cell r="S6" t="str">
            <v xml:space="preserve"> - </v>
          </cell>
          <cell r="T6">
            <v>0</v>
          </cell>
        </row>
        <row r="7">
          <cell r="S7" t="str">
            <v xml:space="preserve"> - </v>
          </cell>
          <cell r="T7">
            <v>0</v>
          </cell>
        </row>
        <row r="8">
          <cell r="S8" t="str">
            <v xml:space="preserve"> - </v>
          </cell>
          <cell r="T8">
            <v>0</v>
          </cell>
        </row>
        <row r="9">
          <cell r="S9" t="str">
            <v xml:space="preserve"> - </v>
          </cell>
          <cell r="T9">
            <v>0</v>
          </cell>
        </row>
        <row r="10">
          <cell r="S10" t="str">
            <v xml:space="preserve"> - </v>
          </cell>
          <cell r="T10">
            <v>0</v>
          </cell>
        </row>
        <row r="11">
          <cell r="T11">
            <v>0</v>
          </cell>
        </row>
        <row r="12">
          <cell r="T12">
            <v>0</v>
          </cell>
        </row>
        <row r="13">
          <cell r="S13" t="str">
            <v xml:space="preserve"> - </v>
          </cell>
          <cell r="T13">
            <v>0</v>
          </cell>
        </row>
        <row r="14">
          <cell r="S14" t="str">
            <v xml:space="preserve"> - </v>
          </cell>
          <cell r="T14">
            <v>0</v>
          </cell>
        </row>
        <row r="15">
          <cell r="S15" t="str">
            <v xml:space="preserve"> - </v>
          </cell>
          <cell r="T15">
            <v>0</v>
          </cell>
        </row>
        <row r="16">
          <cell r="S16" t="str">
            <v xml:space="preserve"> - </v>
          </cell>
          <cell r="T16">
            <v>0</v>
          </cell>
        </row>
        <row r="17">
          <cell r="S17" t="str">
            <v xml:space="preserve"> - </v>
          </cell>
          <cell r="T17">
            <v>0</v>
          </cell>
        </row>
        <row r="18">
          <cell r="S18" t="str">
            <v xml:space="preserve"> - </v>
          </cell>
          <cell r="T18">
            <v>0</v>
          </cell>
        </row>
        <row r="19">
          <cell r="S19" t="str">
            <v xml:space="preserve"> - </v>
          </cell>
          <cell r="T19">
            <v>0</v>
          </cell>
        </row>
        <row r="20">
          <cell r="S20" t="str">
            <v xml:space="preserve"> - </v>
          </cell>
          <cell r="T20">
            <v>0</v>
          </cell>
        </row>
        <row r="21">
          <cell r="S21" t="str">
            <v xml:space="preserve"> - </v>
          </cell>
          <cell r="T21">
            <v>0</v>
          </cell>
        </row>
        <row r="22">
          <cell r="S22" t="str">
            <v xml:space="preserve"> - </v>
          </cell>
          <cell r="T22">
            <v>0</v>
          </cell>
        </row>
        <row r="23">
          <cell r="S23" t="str">
            <v xml:space="preserve"> - </v>
          </cell>
          <cell r="T23">
            <v>0</v>
          </cell>
        </row>
        <row r="24">
          <cell r="S24" t="str">
            <v xml:space="preserve"> - </v>
          </cell>
          <cell r="T24">
            <v>0</v>
          </cell>
        </row>
        <row r="25">
          <cell r="S25" t="str">
            <v xml:space="preserve"> - </v>
          </cell>
          <cell r="T25">
            <v>0</v>
          </cell>
        </row>
        <row r="26">
          <cell r="S26" t="str">
            <v xml:space="preserve"> - </v>
          </cell>
          <cell r="T26">
            <v>0</v>
          </cell>
        </row>
        <row r="27">
          <cell r="S27" t="str">
            <v xml:space="preserve"> - </v>
          </cell>
          <cell r="T27">
            <v>0</v>
          </cell>
        </row>
        <row r="28">
          <cell r="S28" t="str">
            <v xml:space="preserve"> - </v>
          </cell>
          <cell r="T28">
            <v>0</v>
          </cell>
        </row>
        <row r="29">
          <cell r="S29" t="str">
            <v xml:space="preserve"> - </v>
          </cell>
          <cell r="T29">
            <v>0</v>
          </cell>
        </row>
        <row r="30">
          <cell r="S30" t="str">
            <v xml:space="preserve"> - </v>
          </cell>
          <cell r="T30">
            <v>0</v>
          </cell>
        </row>
        <row r="31">
          <cell r="S31" t="str">
            <v xml:space="preserve"> - </v>
          </cell>
          <cell r="T31">
            <v>0</v>
          </cell>
        </row>
        <row r="32">
          <cell r="S32" t="str">
            <v xml:space="preserve"> - </v>
          </cell>
          <cell r="T32">
            <v>0</v>
          </cell>
        </row>
        <row r="33">
          <cell r="S33" t="str">
            <v xml:space="preserve"> - </v>
          </cell>
          <cell r="T33">
            <v>0</v>
          </cell>
        </row>
        <row r="34">
          <cell r="S34" t="str">
            <v xml:space="preserve"> - </v>
          </cell>
          <cell r="T34">
            <v>0</v>
          </cell>
        </row>
        <row r="35">
          <cell r="S35" t="str">
            <v xml:space="preserve"> - </v>
          </cell>
          <cell r="T35">
            <v>0</v>
          </cell>
        </row>
        <row r="36">
          <cell r="S36" t="str">
            <v xml:space="preserve"> - </v>
          </cell>
          <cell r="T36">
            <v>0</v>
          </cell>
        </row>
        <row r="37">
          <cell r="S37" t="str">
            <v xml:space="preserve"> - </v>
          </cell>
          <cell r="T37">
            <v>0</v>
          </cell>
        </row>
        <row r="38">
          <cell r="S38" t="str">
            <v xml:space="preserve"> - </v>
          </cell>
          <cell r="T38">
            <v>0</v>
          </cell>
        </row>
        <row r="39">
          <cell r="S39" t="str">
            <v xml:space="preserve"> - </v>
          </cell>
          <cell r="T39">
            <v>0</v>
          </cell>
        </row>
        <row r="40">
          <cell r="S40" t="str">
            <v xml:space="preserve"> - </v>
          </cell>
          <cell r="T40">
            <v>0</v>
          </cell>
        </row>
        <row r="41">
          <cell r="S41" t="str">
            <v xml:space="preserve"> - </v>
          </cell>
          <cell r="T41">
            <v>0</v>
          </cell>
        </row>
        <row r="42">
          <cell r="S42" t="str">
            <v xml:space="preserve"> - </v>
          </cell>
          <cell r="T42">
            <v>0</v>
          </cell>
        </row>
        <row r="43">
          <cell r="S43" t="str">
            <v xml:space="preserve"> - </v>
          </cell>
          <cell r="T43">
            <v>0</v>
          </cell>
        </row>
        <row r="44">
          <cell r="S44" t="str">
            <v xml:space="preserve"> - </v>
          </cell>
          <cell r="T44">
            <v>0</v>
          </cell>
        </row>
        <row r="45">
          <cell r="S45" t="str">
            <v xml:space="preserve"> - </v>
          </cell>
          <cell r="T45">
            <v>0</v>
          </cell>
        </row>
        <row r="46">
          <cell r="S46" t="str">
            <v xml:space="preserve"> - </v>
          </cell>
          <cell r="T46">
            <v>0</v>
          </cell>
        </row>
        <row r="47">
          <cell r="S47" t="str">
            <v xml:space="preserve"> - </v>
          </cell>
          <cell r="T47">
            <v>0</v>
          </cell>
        </row>
        <row r="48">
          <cell r="S48" t="str">
            <v xml:space="preserve"> - </v>
          </cell>
          <cell r="T48">
            <v>0</v>
          </cell>
        </row>
        <row r="49">
          <cell r="S49" t="str">
            <v xml:space="preserve"> - </v>
          </cell>
          <cell r="T49">
            <v>0</v>
          </cell>
        </row>
        <row r="50">
          <cell r="S50" t="str">
            <v xml:space="preserve"> - </v>
          </cell>
          <cell r="T50">
            <v>0</v>
          </cell>
        </row>
        <row r="51">
          <cell r="S51" t="str">
            <v xml:space="preserve"> - </v>
          </cell>
          <cell r="T51">
            <v>0</v>
          </cell>
        </row>
        <row r="52">
          <cell r="S52" t="str">
            <v xml:space="preserve"> - </v>
          </cell>
          <cell r="T52">
            <v>0</v>
          </cell>
        </row>
        <row r="53">
          <cell r="S53" t="str">
            <v xml:space="preserve"> - </v>
          </cell>
          <cell r="T53">
            <v>0</v>
          </cell>
        </row>
        <row r="54">
          <cell r="S54" t="str">
            <v xml:space="preserve"> - </v>
          </cell>
          <cell r="T54">
            <v>0</v>
          </cell>
        </row>
        <row r="55">
          <cell r="S55" t="str">
            <v xml:space="preserve"> - </v>
          </cell>
          <cell r="T55">
            <v>0</v>
          </cell>
        </row>
        <row r="56">
          <cell r="S56" t="str">
            <v xml:space="preserve"> - </v>
          </cell>
          <cell r="T56">
            <v>0</v>
          </cell>
        </row>
        <row r="57">
          <cell r="S57" t="str">
            <v xml:space="preserve"> - </v>
          </cell>
          <cell r="T57">
            <v>0</v>
          </cell>
        </row>
        <row r="58">
          <cell r="S58" t="str">
            <v xml:space="preserve"> - </v>
          </cell>
          <cell r="T58">
            <v>0</v>
          </cell>
        </row>
        <row r="59">
          <cell r="S59" t="str">
            <v xml:space="preserve"> - </v>
          </cell>
          <cell r="T59">
            <v>0</v>
          </cell>
        </row>
        <row r="60">
          <cell r="S60" t="str">
            <v xml:space="preserve"> - </v>
          </cell>
          <cell r="T60">
            <v>0</v>
          </cell>
        </row>
        <row r="61">
          <cell r="S61" t="str">
            <v xml:space="preserve"> - </v>
          </cell>
          <cell r="T61">
            <v>0</v>
          </cell>
        </row>
        <row r="62">
          <cell r="S62" t="str">
            <v xml:space="preserve"> - </v>
          </cell>
          <cell r="T62">
            <v>0</v>
          </cell>
        </row>
        <row r="63">
          <cell r="S63" t="str">
            <v xml:space="preserve"> - </v>
          </cell>
          <cell r="T63">
            <v>0</v>
          </cell>
        </row>
        <row r="64">
          <cell r="S64" t="str">
            <v xml:space="preserve"> - </v>
          </cell>
          <cell r="T64">
            <v>0</v>
          </cell>
        </row>
        <row r="65">
          <cell r="S65" t="str">
            <v xml:space="preserve"> - </v>
          </cell>
          <cell r="T65">
            <v>0</v>
          </cell>
        </row>
        <row r="66">
          <cell r="S66" t="str">
            <v xml:space="preserve"> - </v>
          </cell>
          <cell r="T66">
            <v>0</v>
          </cell>
        </row>
        <row r="67">
          <cell r="S67" t="str">
            <v xml:space="preserve"> - </v>
          </cell>
          <cell r="T67">
            <v>0</v>
          </cell>
        </row>
        <row r="68">
          <cell r="S68" t="str">
            <v xml:space="preserve"> - </v>
          </cell>
          <cell r="T68">
            <v>0</v>
          </cell>
        </row>
        <row r="69">
          <cell r="S69" t="str">
            <v xml:space="preserve"> - </v>
          </cell>
          <cell r="T69">
            <v>0</v>
          </cell>
        </row>
        <row r="70">
          <cell r="S70" t="str">
            <v xml:space="preserve"> - </v>
          </cell>
          <cell r="T70">
            <v>0</v>
          </cell>
        </row>
        <row r="71">
          <cell r="S71" t="str">
            <v xml:space="preserve"> - </v>
          </cell>
          <cell r="T71">
            <v>0</v>
          </cell>
        </row>
        <row r="72">
          <cell r="S72" t="str">
            <v xml:space="preserve"> - </v>
          </cell>
          <cell r="T72">
            <v>0</v>
          </cell>
        </row>
        <row r="73">
          <cell r="S73" t="str">
            <v xml:space="preserve"> - </v>
          </cell>
          <cell r="T73">
            <v>0</v>
          </cell>
        </row>
        <row r="74">
          <cell r="S74" t="str">
            <v xml:space="preserve"> - </v>
          </cell>
          <cell r="T74">
            <v>0</v>
          </cell>
        </row>
        <row r="75">
          <cell r="S75" t="str">
            <v xml:space="preserve"> - </v>
          </cell>
          <cell r="T75">
            <v>0</v>
          </cell>
        </row>
        <row r="76">
          <cell r="S76" t="str">
            <v xml:space="preserve"> - </v>
          </cell>
          <cell r="T76">
            <v>0</v>
          </cell>
        </row>
        <row r="77">
          <cell r="S77" t="str">
            <v xml:space="preserve"> - </v>
          </cell>
          <cell r="T77">
            <v>0</v>
          </cell>
        </row>
        <row r="78">
          <cell r="S78" t="str">
            <v xml:space="preserve"> - </v>
          </cell>
          <cell r="T78">
            <v>0</v>
          </cell>
        </row>
        <row r="79">
          <cell r="S79" t="str">
            <v xml:space="preserve"> - </v>
          </cell>
          <cell r="T79">
            <v>0</v>
          </cell>
        </row>
        <row r="80">
          <cell r="S80" t="str">
            <v xml:space="preserve"> - </v>
          </cell>
          <cell r="T80">
            <v>0</v>
          </cell>
        </row>
        <row r="81">
          <cell r="S81" t="str">
            <v xml:space="preserve"> - </v>
          </cell>
          <cell r="T81">
            <v>0</v>
          </cell>
        </row>
        <row r="82">
          <cell r="S82" t="str">
            <v xml:space="preserve"> - </v>
          </cell>
          <cell r="T82">
            <v>0</v>
          </cell>
        </row>
        <row r="83">
          <cell r="S83" t="str">
            <v xml:space="preserve"> - </v>
          </cell>
          <cell r="T83">
            <v>0</v>
          </cell>
        </row>
        <row r="84">
          <cell r="S84" t="str">
            <v xml:space="preserve"> - </v>
          </cell>
          <cell r="T84">
            <v>0</v>
          </cell>
        </row>
        <row r="85">
          <cell r="S85" t="str">
            <v xml:space="preserve"> - </v>
          </cell>
          <cell r="T85">
            <v>0</v>
          </cell>
        </row>
        <row r="86">
          <cell r="S86" t="str">
            <v xml:space="preserve"> - </v>
          </cell>
          <cell r="T86">
            <v>0</v>
          </cell>
        </row>
        <row r="87">
          <cell r="S87" t="str">
            <v xml:space="preserve"> - </v>
          </cell>
          <cell r="T87">
            <v>0</v>
          </cell>
        </row>
        <row r="88">
          <cell r="S88" t="str">
            <v xml:space="preserve"> - </v>
          </cell>
          <cell r="T88">
            <v>0</v>
          </cell>
        </row>
        <row r="89">
          <cell r="S89" t="str">
            <v xml:space="preserve"> - </v>
          </cell>
          <cell r="T89">
            <v>0</v>
          </cell>
        </row>
        <row r="90">
          <cell r="S90" t="str">
            <v xml:space="preserve"> - </v>
          </cell>
          <cell r="T90">
            <v>0</v>
          </cell>
        </row>
        <row r="91">
          <cell r="S91" t="str">
            <v xml:space="preserve"> - </v>
          </cell>
          <cell r="T91">
            <v>0</v>
          </cell>
        </row>
        <row r="92">
          <cell r="S92" t="str">
            <v xml:space="preserve"> - </v>
          </cell>
          <cell r="T92">
            <v>0</v>
          </cell>
        </row>
        <row r="93">
          <cell r="S93" t="str">
            <v xml:space="preserve"> - </v>
          </cell>
          <cell r="T93">
            <v>0</v>
          </cell>
        </row>
        <row r="94">
          <cell r="S94" t="str">
            <v xml:space="preserve"> - </v>
          </cell>
          <cell r="T94">
            <v>0</v>
          </cell>
        </row>
        <row r="95">
          <cell r="S95" t="str">
            <v xml:space="preserve"> - </v>
          </cell>
          <cell r="T95">
            <v>0</v>
          </cell>
        </row>
        <row r="96">
          <cell r="S96" t="str">
            <v xml:space="preserve"> - </v>
          </cell>
          <cell r="T96">
            <v>0</v>
          </cell>
        </row>
        <row r="97">
          <cell r="S97" t="str">
            <v xml:space="preserve"> - </v>
          </cell>
          <cell r="T97">
            <v>0</v>
          </cell>
        </row>
        <row r="98">
          <cell r="S98" t="str">
            <v xml:space="preserve"> - </v>
          </cell>
          <cell r="T98">
            <v>0</v>
          </cell>
        </row>
        <row r="99">
          <cell r="S99" t="str">
            <v xml:space="preserve"> - </v>
          </cell>
          <cell r="T99">
            <v>0</v>
          </cell>
        </row>
        <row r="100">
          <cell r="S100" t="str">
            <v xml:space="preserve"> - </v>
          </cell>
          <cell r="T100">
            <v>0</v>
          </cell>
        </row>
        <row r="101">
          <cell r="S101" t="str">
            <v xml:space="preserve"> - </v>
          </cell>
          <cell r="T101">
            <v>0</v>
          </cell>
        </row>
        <row r="102">
          <cell r="S102" t="str">
            <v xml:space="preserve"> - </v>
          </cell>
          <cell r="T102">
            <v>0</v>
          </cell>
        </row>
        <row r="103">
          <cell r="S103" t="str">
            <v xml:space="preserve"> - </v>
          </cell>
          <cell r="T103">
            <v>0</v>
          </cell>
        </row>
        <row r="104">
          <cell r="S104" t="str">
            <v xml:space="preserve"> - </v>
          </cell>
          <cell r="T104">
            <v>0</v>
          </cell>
        </row>
        <row r="105">
          <cell r="S105" t="str">
            <v xml:space="preserve"> - </v>
          </cell>
          <cell r="T105">
            <v>0</v>
          </cell>
        </row>
        <row r="106">
          <cell r="S106" t="str">
            <v xml:space="preserve"> - </v>
          </cell>
          <cell r="T106">
            <v>0</v>
          </cell>
        </row>
        <row r="107">
          <cell r="S107" t="str">
            <v xml:space="preserve"> - </v>
          </cell>
          <cell r="T107">
            <v>0</v>
          </cell>
        </row>
        <row r="108">
          <cell r="S108" t="str">
            <v xml:space="preserve"> - </v>
          </cell>
          <cell r="T108">
            <v>0</v>
          </cell>
        </row>
        <row r="109">
          <cell r="S109" t="str">
            <v xml:space="preserve"> - </v>
          </cell>
          <cell r="T109">
            <v>0</v>
          </cell>
        </row>
        <row r="110">
          <cell r="S110" t="str">
            <v xml:space="preserve"> - </v>
          </cell>
          <cell r="T110">
            <v>0</v>
          </cell>
        </row>
        <row r="111">
          <cell r="S111" t="str">
            <v xml:space="preserve"> - </v>
          </cell>
          <cell r="T111">
            <v>0</v>
          </cell>
        </row>
        <row r="112">
          <cell r="S112" t="str">
            <v xml:space="preserve"> - </v>
          </cell>
          <cell r="T112">
            <v>0</v>
          </cell>
        </row>
        <row r="113">
          <cell r="S113" t="str">
            <v xml:space="preserve"> - </v>
          </cell>
          <cell r="T113">
            <v>0</v>
          </cell>
        </row>
        <row r="114">
          <cell r="S114" t="str">
            <v xml:space="preserve"> - </v>
          </cell>
          <cell r="T114">
            <v>0</v>
          </cell>
        </row>
        <row r="115">
          <cell r="S115" t="str">
            <v xml:space="preserve"> - </v>
          </cell>
          <cell r="T115">
            <v>0</v>
          </cell>
        </row>
        <row r="116">
          <cell r="S116" t="str">
            <v xml:space="preserve"> - </v>
          </cell>
          <cell r="T116">
            <v>0</v>
          </cell>
        </row>
        <row r="117">
          <cell r="S117" t="str">
            <v xml:space="preserve"> - </v>
          </cell>
          <cell r="T117">
            <v>0</v>
          </cell>
        </row>
        <row r="118">
          <cell r="S118" t="str">
            <v xml:space="preserve"> - </v>
          </cell>
          <cell r="T118">
            <v>0</v>
          </cell>
        </row>
        <row r="119">
          <cell r="S119" t="str">
            <v xml:space="preserve"> - </v>
          </cell>
          <cell r="T119">
            <v>0</v>
          </cell>
        </row>
        <row r="120">
          <cell r="S120" t="str">
            <v xml:space="preserve"> - </v>
          </cell>
          <cell r="T120">
            <v>0</v>
          </cell>
        </row>
        <row r="121">
          <cell r="S121" t="str">
            <v xml:space="preserve"> - </v>
          </cell>
          <cell r="T121">
            <v>0</v>
          </cell>
        </row>
        <row r="122">
          <cell r="S122" t="str">
            <v xml:space="preserve"> - </v>
          </cell>
          <cell r="T122">
            <v>0</v>
          </cell>
        </row>
        <row r="123">
          <cell r="S123" t="str">
            <v xml:space="preserve"> - </v>
          </cell>
          <cell r="T123">
            <v>0</v>
          </cell>
        </row>
        <row r="124">
          <cell r="S124" t="str">
            <v xml:space="preserve"> - </v>
          </cell>
          <cell r="T124">
            <v>0</v>
          </cell>
        </row>
        <row r="125">
          <cell r="S125" t="str">
            <v xml:space="preserve"> - </v>
          </cell>
          <cell r="T125">
            <v>0</v>
          </cell>
        </row>
        <row r="126">
          <cell r="S126" t="str">
            <v xml:space="preserve"> - </v>
          </cell>
          <cell r="T126">
            <v>0</v>
          </cell>
        </row>
        <row r="127">
          <cell r="S127" t="str">
            <v xml:space="preserve"> - </v>
          </cell>
          <cell r="T127">
            <v>0</v>
          </cell>
        </row>
        <row r="128">
          <cell r="S128" t="str">
            <v xml:space="preserve"> - </v>
          </cell>
          <cell r="T128">
            <v>0</v>
          </cell>
        </row>
        <row r="129">
          <cell r="S129" t="str">
            <v xml:space="preserve"> - </v>
          </cell>
          <cell r="T129">
            <v>0</v>
          </cell>
        </row>
        <row r="130">
          <cell r="S130" t="str">
            <v xml:space="preserve"> - </v>
          </cell>
          <cell r="T130">
            <v>0</v>
          </cell>
        </row>
        <row r="131">
          <cell r="S131" t="str">
            <v xml:space="preserve"> - </v>
          </cell>
          <cell r="T131">
            <v>0</v>
          </cell>
        </row>
        <row r="132">
          <cell r="S132" t="str">
            <v xml:space="preserve"> - </v>
          </cell>
          <cell r="T132">
            <v>0</v>
          </cell>
        </row>
        <row r="133">
          <cell r="S133" t="str">
            <v xml:space="preserve"> - </v>
          </cell>
          <cell r="T133">
            <v>0</v>
          </cell>
        </row>
        <row r="134">
          <cell r="S134" t="str">
            <v xml:space="preserve"> - </v>
          </cell>
          <cell r="T134">
            <v>0</v>
          </cell>
        </row>
        <row r="135">
          <cell r="S135" t="str">
            <v xml:space="preserve"> - </v>
          </cell>
          <cell r="T135">
            <v>0</v>
          </cell>
        </row>
        <row r="136">
          <cell r="S136" t="str">
            <v xml:space="preserve"> - </v>
          </cell>
          <cell r="T136">
            <v>0</v>
          </cell>
        </row>
        <row r="137">
          <cell r="S137" t="str">
            <v xml:space="preserve"> - </v>
          </cell>
          <cell r="T137">
            <v>0</v>
          </cell>
        </row>
        <row r="138">
          <cell r="S138" t="str">
            <v xml:space="preserve"> - </v>
          </cell>
          <cell r="T138">
            <v>0</v>
          </cell>
        </row>
        <row r="139">
          <cell r="S139" t="str">
            <v xml:space="preserve"> - </v>
          </cell>
          <cell r="T139">
            <v>0</v>
          </cell>
        </row>
        <row r="140">
          <cell r="S140" t="str">
            <v xml:space="preserve"> - </v>
          </cell>
          <cell r="T140">
            <v>0</v>
          </cell>
        </row>
        <row r="141">
          <cell r="S141" t="str">
            <v xml:space="preserve"> - </v>
          </cell>
          <cell r="T141">
            <v>0</v>
          </cell>
        </row>
        <row r="142">
          <cell r="S142" t="str">
            <v xml:space="preserve"> - </v>
          </cell>
          <cell r="T142">
            <v>0</v>
          </cell>
        </row>
        <row r="143">
          <cell r="S143" t="str">
            <v xml:space="preserve"> - </v>
          </cell>
          <cell r="T143">
            <v>0</v>
          </cell>
        </row>
        <row r="144">
          <cell r="S144" t="str">
            <v xml:space="preserve"> - </v>
          </cell>
          <cell r="T144">
            <v>0</v>
          </cell>
        </row>
        <row r="145">
          <cell r="S145" t="str">
            <v xml:space="preserve"> - </v>
          </cell>
          <cell r="T145">
            <v>0</v>
          </cell>
        </row>
        <row r="146">
          <cell r="S146" t="str">
            <v xml:space="preserve"> - </v>
          </cell>
          <cell r="T146">
            <v>0</v>
          </cell>
        </row>
        <row r="147">
          <cell r="S147" t="str">
            <v xml:space="preserve"> - </v>
          </cell>
          <cell r="T147">
            <v>0</v>
          </cell>
        </row>
        <row r="148">
          <cell r="S148" t="str">
            <v xml:space="preserve"> - </v>
          </cell>
          <cell r="T148">
            <v>0</v>
          </cell>
        </row>
        <row r="149">
          <cell r="S149" t="str">
            <v xml:space="preserve"> - </v>
          </cell>
          <cell r="T149">
            <v>0</v>
          </cell>
        </row>
        <row r="150">
          <cell r="S150" t="str">
            <v xml:space="preserve"> - </v>
          </cell>
          <cell r="T150">
            <v>0</v>
          </cell>
        </row>
        <row r="151">
          <cell r="S151" t="str">
            <v xml:space="preserve"> - </v>
          </cell>
          <cell r="T151">
            <v>0</v>
          </cell>
        </row>
        <row r="152">
          <cell r="S152" t="str">
            <v xml:space="preserve"> - </v>
          </cell>
          <cell r="T152">
            <v>0</v>
          </cell>
        </row>
        <row r="153">
          <cell r="S153" t="str">
            <v xml:space="preserve"> - </v>
          </cell>
          <cell r="T153">
            <v>0</v>
          </cell>
        </row>
        <row r="154">
          <cell r="S154" t="str">
            <v xml:space="preserve"> - </v>
          </cell>
          <cell r="T154">
            <v>0</v>
          </cell>
        </row>
        <row r="155">
          <cell r="S155" t="str">
            <v xml:space="preserve"> - </v>
          </cell>
          <cell r="T155">
            <v>0</v>
          </cell>
        </row>
        <row r="156">
          <cell r="S156" t="str">
            <v xml:space="preserve"> - </v>
          </cell>
          <cell r="T156">
            <v>0</v>
          </cell>
        </row>
        <row r="157">
          <cell r="S157" t="str">
            <v xml:space="preserve"> - </v>
          </cell>
          <cell r="T157">
            <v>0</v>
          </cell>
        </row>
        <row r="158">
          <cell r="S158" t="str">
            <v xml:space="preserve"> - </v>
          </cell>
          <cell r="T158">
            <v>0</v>
          </cell>
        </row>
        <row r="159">
          <cell r="S159" t="str">
            <v xml:space="preserve"> - </v>
          </cell>
          <cell r="T159">
            <v>0</v>
          </cell>
        </row>
        <row r="160">
          <cell r="S160" t="str">
            <v xml:space="preserve"> - </v>
          </cell>
          <cell r="T160">
            <v>0</v>
          </cell>
        </row>
        <row r="161">
          <cell r="S161" t="str">
            <v xml:space="preserve"> - </v>
          </cell>
          <cell r="T161">
            <v>0</v>
          </cell>
        </row>
        <row r="162">
          <cell r="S162" t="str">
            <v xml:space="preserve"> - </v>
          </cell>
          <cell r="T162">
            <v>0</v>
          </cell>
        </row>
        <row r="163">
          <cell r="S163" t="str">
            <v xml:space="preserve"> - </v>
          </cell>
          <cell r="T163">
            <v>0</v>
          </cell>
        </row>
        <row r="164">
          <cell r="S164" t="str">
            <v xml:space="preserve"> - </v>
          </cell>
          <cell r="T164">
            <v>0</v>
          </cell>
        </row>
        <row r="165">
          <cell r="S165" t="str">
            <v xml:space="preserve"> - </v>
          </cell>
          <cell r="T165">
            <v>0</v>
          </cell>
        </row>
        <row r="166">
          <cell r="S166" t="str">
            <v xml:space="preserve"> - </v>
          </cell>
          <cell r="T166">
            <v>0</v>
          </cell>
        </row>
        <row r="167">
          <cell r="S167" t="str">
            <v xml:space="preserve"> - </v>
          </cell>
          <cell r="T167">
            <v>0</v>
          </cell>
        </row>
        <row r="168">
          <cell r="S168" t="str">
            <v xml:space="preserve"> - </v>
          </cell>
          <cell r="T168">
            <v>0</v>
          </cell>
        </row>
        <row r="169">
          <cell r="S169" t="str">
            <v xml:space="preserve"> - </v>
          </cell>
          <cell r="T169">
            <v>0</v>
          </cell>
        </row>
        <row r="170">
          <cell r="S170" t="str">
            <v xml:space="preserve"> - </v>
          </cell>
          <cell r="T170">
            <v>0</v>
          </cell>
        </row>
        <row r="171">
          <cell r="S171" t="str">
            <v xml:space="preserve"> - </v>
          </cell>
          <cell r="T171">
            <v>0</v>
          </cell>
        </row>
        <row r="172">
          <cell r="S172" t="str">
            <v xml:space="preserve"> - </v>
          </cell>
          <cell r="T172">
            <v>0</v>
          </cell>
        </row>
        <row r="173">
          <cell r="S173" t="str">
            <v xml:space="preserve"> - </v>
          </cell>
          <cell r="T173">
            <v>0</v>
          </cell>
        </row>
        <row r="174">
          <cell r="S174" t="str">
            <v xml:space="preserve"> - </v>
          </cell>
          <cell r="T174">
            <v>0</v>
          </cell>
        </row>
        <row r="175">
          <cell r="S175" t="str">
            <v xml:space="preserve"> - </v>
          </cell>
          <cell r="T175">
            <v>0</v>
          </cell>
        </row>
        <row r="176">
          <cell r="S176" t="str">
            <v xml:space="preserve"> - </v>
          </cell>
          <cell r="T176">
            <v>0</v>
          </cell>
        </row>
        <row r="177">
          <cell r="S177" t="str">
            <v xml:space="preserve"> - </v>
          </cell>
          <cell r="T177">
            <v>0</v>
          </cell>
        </row>
        <row r="178">
          <cell r="S178" t="str">
            <v xml:space="preserve"> - </v>
          </cell>
          <cell r="T178">
            <v>0</v>
          </cell>
        </row>
        <row r="179">
          <cell r="S179" t="str">
            <v xml:space="preserve"> - </v>
          </cell>
          <cell r="T179">
            <v>0</v>
          </cell>
        </row>
        <row r="180">
          <cell r="S180" t="str">
            <v xml:space="preserve"> - </v>
          </cell>
          <cell r="T180">
            <v>0</v>
          </cell>
        </row>
        <row r="181">
          <cell r="S181" t="str">
            <v xml:space="preserve"> - </v>
          </cell>
          <cell r="T181">
            <v>0</v>
          </cell>
        </row>
        <row r="182">
          <cell r="S182" t="str">
            <v xml:space="preserve"> - </v>
          </cell>
          <cell r="T182">
            <v>0</v>
          </cell>
        </row>
        <row r="183">
          <cell r="S183" t="str">
            <v xml:space="preserve"> - </v>
          </cell>
          <cell r="T183">
            <v>0</v>
          </cell>
        </row>
        <row r="184">
          <cell r="S184" t="str">
            <v xml:space="preserve"> - </v>
          </cell>
          <cell r="T184">
            <v>0</v>
          </cell>
        </row>
        <row r="185">
          <cell r="S185" t="str">
            <v xml:space="preserve"> - </v>
          </cell>
          <cell r="T185">
            <v>0</v>
          </cell>
        </row>
        <row r="186">
          <cell r="S186" t="str">
            <v xml:space="preserve"> - </v>
          </cell>
          <cell r="T186">
            <v>0</v>
          </cell>
        </row>
        <row r="187">
          <cell r="S187" t="str">
            <v xml:space="preserve"> - </v>
          </cell>
          <cell r="T187">
            <v>0</v>
          </cell>
        </row>
        <row r="188">
          <cell r="S188" t="str">
            <v xml:space="preserve"> - </v>
          </cell>
          <cell r="T188">
            <v>0</v>
          </cell>
        </row>
        <row r="189">
          <cell r="S189" t="str">
            <v xml:space="preserve"> - </v>
          </cell>
          <cell r="T189">
            <v>0</v>
          </cell>
        </row>
        <row r="190">
          <cell r="S190" t="str">
            <v xml:space="preserve"> - </v>
          </cell>
          <cell r="T190">
            <v>0</v>
          </cell>
        </row>
        <row r="191">
          <cell r="S191" t="str">
            <v xml:space="preserve"> - </v>
          </cell>
          <cell r="T191">
            <v>0</v>
          </cell>
        </row>
        <row r="192">
          <cell r="S192" t="str">
            <v xml:space="preserve"> - </v>
          </cell>
          <cell r="T192">
            <v>0</v>
          </cell>
        </row>
        <row r="193">
          <cell r="S193" t="str">
            <v xml:space="preserve"> - </v>
          </cell>
          <cell r="T193">
            <v>0</v>
          </cell>
        </row>
        <row r="194">
          <cell r="S194" t="str">
            <v xml:space="preserve"> - </v>
          </cell>
          <cell r="T194">
            <v>0</v>
          </cell>
        </row>
        <row r="195">
          <cell r="S195" t="str">
            <v xml:space="preserve"> - </v>
          </cell>
          <cell r="T195">
            <v>0</v>
          </cell>
        </row>
        <row r="196">
          <cell r="S196" t="str">
            <v xml:space="preserve"> - </v>
          </cell>
          <cell r="T196">
            <v>0</v>
          </cell>
        </row>
        <row r="197">
          <cell r="S197" t="str">
            <v xml:space="preserve"> - </v>
          </cell>
          <cell r="T197">
            <v>0</v>
          </cell>
        </row>
        <row r="198">
          <cell r="S198" t="str">
            <v xml:space="preserve"> - </v>
          </cell>
          <cell r="T198">
            <v>0</v>
          </cell>
        </row>
        <row r="199">
          <cell r="S199" t="str">
            <v xml:space="preserve"> - </v>
          </cell>
          <cell r="T199">
            <v>0</v>
          </cell>
        </row>
        <row r="200">
          <cell r="S200" t="str">
            <v xml:space="preserve"> - </v>
          </cell>
          <cell r="T200">
            <v>0</v>
          </cell>
        </row>
        <row r="201">
          <cell r="S201" t="str">
            <v xml:space="preserve"> - </v>
          </cell>
          <cell r="T201">
            <v>0</v>
          </cell>
        </row>
        <row r="202">
          <cell r="S202" t="str">
            <v xml:space="preserve"> - </v>
          </cell>
          <cell r="T202">
            <v>0</v>
          </cell>
        </row>
        <row r="203">
          <cell r="S203" t="str">
            <v xml:space="preserve"> - </v>
          </cell>
          <cell r="T203">
            <v>0</v>
          </cell>
        </row>
        <row r="204">
          <cell r="S204" t="str">
            <v xml:space="preserve"> - </v>
          </cell>
          <cell r="T204">
            <v>0</v>
          </cell>
        </row>
        <row r="205">
          <cell r="S205" t="str">
            <v xml:space="preserve"> - </v>
          </cell>
          <cell r="T205">
            <v>0</v>
          </cell>
        </row>
        <row r="206">
          <cell r="S206" t="str">
            <v xml:space="preserve"> - </v>
          </cell>
          <cell r="T206">
            <v>0</v>
          </cell>
        </row>
        <row r="207">
          <cell r="S207" t="str">
            <v xml:space="preserve"> - </v>
          </cell>
          <cell r="T207">
            <v>0</v>
          </cell>
        </row>
        <row r="208">
          <cell r="S208" t="str">
            <v xml:space="preserve"> - </v>
          </cell>
          <cell r="T208">
            <v>0</v>
          </cell>
        </row>
        <row r="209">
          <cell r="S209" t="str">
            <v xml:space="preserve"> - </v>
          </cell>
          <cell r="T209">
            <v>0</v>
          </cell>
        </row>
        <row r="210">
          <cell r="S210" t="str">
            <v xml:space="preserve"> - </v>
          </cell>
          <cell r="T210">
            <v>0</v>
          </cell>
        </row>
        <row r="211">
          <cell r="S211" t="str">
            <v xml:space="preserve"> - </v>
          </cell>
          <cell r="T211">
            <v>0</v>
          </cell>
        </row>
        <row r="212">
          <cell r="S212" t="str">
            <v xml:space="preserve"> - </v>
          </cell>
          <cell r="T212">
            <v>0</v>
          </cell>
        </row>
        <row r="213">
          <cell r="S213" t="str">
            <v xml:space="preserve"> - </v>
          </cell>
          <cell r="T213">
            <v>0</v>
          </cell>
        </row>
        <row r="214">
          <cell r="S214" t="str">
            <v xml:space="preserve"> - </v>
          </cell>
          <cell r="T214">
            <v>0</v>
          </cell>
        </row>
        <row r="215">
          <cell r="S215" t="str">
            <v xml:space="preserve"> - </v>
          </cell>
          <cell r="T215">
            <v>0</v>
          </cell>
        </row>
        <row r="216">
          <cell r="S216" t="str">
            <v xml:space="preserve"> - </v>
          </cell>
          <cell r="T216">
            <v>0</v>
          </cell>
        </row>
        <row r="217">
          <cell r="S217" t="str">
            <v xml:space="preserve"> - </v>
          </cell>
          <cell r="T217">
            <v>0</v>
          </cell>
        </row>
        <row r="218">
          <cell r="S218" t="str">
            <v xml:space="preserve"> - </v>
          </cell>
          <cell r="T218">
            <v>0</v>
          </cell>
        </row>
        <row r="219">
          <cell r="S219" t="str">
            <v xml:space="preserve"> - </v>
          </cell>
          <cell r="T219">
            <v>0</v>
          </cell>
        </row>
        <row r="220">
          <cell r="S220" t="str">
            <v xml:space="preserve"> - </v>
          </cell>
          <cell r="T220">
            <v>0</v>
          </cell>
        </row>
        <row r="221">
          <cell r="S221" t="str">
            <v xml:space="preserve"> - </v>
          </cell>
          <cell r="T221">
            <v>0</v>
          </cell>
        </row>
        <row r="222">
          <cell r="S222" t="str">
            <v xml:space="preserve"> - </v>
          </cell>
          <cell r="T222">
            <v>0</v>
          </cell>
        </row>
        <row r="223">
          <cell r="S223" t="str">
            <v xml:space="preserve"> - </v>
          </cell>
          <cell r="T223">
            <v>0</v>
          </cell>
        </row>
        <row r="224">
          <cell r="S224" t="str">
            <v xml:space="preserve"> - </v>
          </cell>
          <cell r="T224">
            <v>0</v>
          </cell>
        </row>
        <row r="225">
          <cell r="S225" t="str">
            <v xml:space="preserve"> - </v>
          </cell>
          <cell r="T225">
            <v>0</v>
          </cell>
        </row>
        <row r="226">
          <cell r="S226" t="str">
            <v xml:space="preserve"> - </v>
          </cell>
          <cell r="T226">
            <v>0</v>
          </cell>
        </row>
        <row r="227">
          <cell r="S227" t="str">
            <v xml:space="preserve"> - </v>
          </cell>
          <cell r="T227">
            <v>0</v>
          </cell>
        </row>
        <row r="228">
          <cell r="S228" t="str">
            <v xml:space="preserve"> - </v>
          </cell>
          <cell r="T228">
            <v>0</v>
          </cell>
        </row>
        <row r="229">
          <cell r="S229" t="str">
            <v xml:space="preserve"> - </v>
          </cell>
          <cell r="T229">
            <v>0</v>
          </cell>
        </row>
        <row r="230">
          <cell r="S230" t="str">
            <v xml:space="preserve"> - </v>
          </cell>
          <cell r="T230">
            <v>0</v>
          </cell>
        </row>
        <row r="231">
          <cell r="S231" t="str">
            <v xml:space="preserve"> - </v>
          </cell>
          <cell r="T231">
            <v>0</v>
          </cell>
        </row>
        <row r="232">
          <cell r="S232" t="str">
            <v xml:space="preserve"> - </v>
          </cell>
          <cell r="T232">
            <v>0</v>
          </cell>
        </row>
        <row r="233">
          <cell r="S233" t="str">
            <v xml:space="preserve"> - </v>
          </cell>
          <cell r="T233">
            <v>0</v>
          </cell>
        </row>
        <row r="234">
          <cell r="S234" t="str">
            <v xml:space="preserve"> - </v>
          </cell>
          <cell r="T234">
            <v>0</v>
          </cell>
        </row>
        <row r="235">
          <cell r="S235" t="str">
            <v xml:space="preserve"> - </v>
          </cell>
          <cell r="T235">
            <v>0</v>
          </cell>
        </row>
        <row r="236">
          <cell r="S236" t="str">
            <v xml:space="preserve"> - </v>
          </cell>
          <cell r="T236">
            <v>0</v>
          </cell>
        </row>
        <row r="237">
          <cell r="S237" t="str">
            <v xml:space="preserve"> - </v>
          </cell>
          <cell r="T237">
            <v>0</v>
          </cell>
        </row>
        <row r="238">
          <cell r="S238" t="str">
            <v xml:space="preserve"> - </v>
          </cell>
          <cell r="T238">
            <v>0</v>
          </cell>
        </row>
        <row r="239">
          <cell r="S239" t="str">
            <v xml:space="preserve"> - </v>
          </cell>
          <cell r="T239">
            <v>0</v>
          </cell>
        </row>
        <row r="240">
          <cell r="S240" t="str">
            <v xml:space="preserve"> - </v>
          </cell>
          <cell r="T240">
            <v>0</v>
          </cell>
        </row>
        <row r="241">
          <cell r="S241" t="str">
            <v xml:space="preserve"> - </v>
          </cell>
          <cell r="T241">
            <v>0</v>
          </cell>
        </row>
        <row r="242">
          <cell r="S242" t="str">
            <v xml:space="preserve"> - </v>
          </cell>
          <cell r="T242">
            <v>0</v>
          </cell>
        </row>
        <row r="243">
          <cell r="S243" t="str">
            <v xml:space="preserve"> - </v>
          </cell>
          <cell r="T243">
            <v>0</v>
          </cell>
        </row>
        <row r="244">
          <cell r="S244" t="str">
            <v xml:space="preserve"> - </v>
          </cell>
          <cell r="T244">
            <v>0</v>
          </cell>
        </row>
        <row r="245">
          <cell r="S245" t="str">
            <v xml:space="preserve"> - </v>
          </cell>
          <cell r="T245">
            <v>0</v>
          </cell>
        </row>
        <row r="246">
          <cell r="S246" t="str">
            <v xml:space="preserve"> - </v>
          </cell>
          <cell r="T246">
            <v>0</v>
          </cell>
        </row>
        <row r="247">
          <cell r="S247" t="str">
            <v xml:space="preserve"> - </v>
          </cell>
          <cell r="T247">
            <v>0</v>
          </cell>
        </row>
        <row r="248">
          <cell r="S248" t="str">
            <v xml:space="preserve"> - </v>
          </cell>
          <cell r="T248">
            <v>0</v>
          </cell>
        </row>
        <row r="249">
          <cell r="S249" t="str">
            <v xml:space="preserve"> - </v>
          </cell>
          <cell r="T249">
            <v>0</v>
          </cell>
        </row>
        <row r="250">
          <cell r="S250" t="str">
            <v xml:space="preserve"> - </v>
          </cell>
          <cell r="T250">
            <v>0</v>
          </cell>
        </row>
        <row r="251">
          <cell r="S251" t="str">
            <v xml:space="preserve"> - </v>
          </cell>
          <cell r="T251">
            <v>0</v>
          </cell>
        </row>
        <row r="252">
          <cell r="S252" t="str">
            <v xml:space="preserve"> - </v>
          </cell>
          <cell r="T252">
            <v>0</v>
          </cell>
        </row>
        <row r="253">
          <cell r="S253" t="str">
            <v xml:space="preserve"> - </v>
          </cell>
          <cell r="T253">
            <v>0</v>
          </cell>
        </row>
        <row r="254">
          <cell r="S254" t="str">
            <v xml:space="preserve"> - </v>
          </cell>
          <cell r="T254">
            <v>0</v>
          </cell>
        </row>
        <row r="255">
          <cell r="S255" t="str">
            <v xml:space="preserve"> - </v>
          </cell>
          <cell r="T255">
            <v>0</v>
          </cell>
        </row>
        <row r="256">
          <cell r="S256" t="str">
            <v xml:space="preserve"> - </v>
          </cell>
          <cell r="T256">
            <v>0</v>
          </cell>
        </row>
        <row r="257">
          <cell r="S257" t="str">
            <v xml:space="preserve"> - </v>
          </cell>
          <cell r="T257">
            <v>0</v>
          </cell>
        </row>
        <row r="258">
          <cell r="S258" t="str">
            <v xml:space="preserve"> - </v>
          </cell>
          <cell r="T258">
            <v>0</v>
          </cell>
        </row>
        <row r="259">
          <cell r="S259" t="str">
            <v xml:space="preserve"> - </v>
          </cell>
          <cell r="T259">
            <v>0</v>
          </cell>
        </row>
        <row r="260">
          <cell r="S260" t="str">
            <v xml:space="preserve"> - </v>
          </cell>
          <cell r="T260">
            <v>0</v>
          </cell>
        </row>
        <row r="261">
          <cell r="S261" t="str">
            <v xml:space="preserve"> - </v>
          </cell>
          <cell r="T261">
            <v>0</v>
          </cell>
        </row>
        <row r="262">
          <cell r="S262" t="str">
            <v xml:space="preserve"> - </v>
          </cell>
          <cell r="T262">
            <v>0</v>
          </cell>
        </row>
        <row r="263">
          <cell r="S263" t="str">
            <v xml:space="preserve"> - </v>
          </cell>
          <cell r="T263">
            <v>0</v>
          </cell>
        </row>
        <row r="264">
          <cell r="S264" t="str">
            <v xml:space="preserve"> - </v>
          </cell>
          <cell r="T264">
            <v>0</v>
          </cell>
        </row>
        <row r="265">
          <cell r="S265" t="str">
            <v xml:space="preserve"> - </v>
          </cell>
          <cell r="T265">
            <v>0</v>
          </cell>
        </row>
        <row r="266">
          <cell r="S266" t="str">
            <v xml:space="preserve"> - </v>
          </cell>
          <cell r="T266">
            <v>0</v>
          </cell>
        </row>
        <row r="267">
          <cell r="S267" t="str">
            <v xml:space="preserve"> - </v>
          </cell>
          <cell r="T267">
            <v>0</v>
          </cell>
        </row>
        <row r="268">
          <cell r="S268" t="str">
            <v xml:space="preserve"> - </v>
          </cell>
          <cell r="T268">
            <v>0</v>
          </cell>
        </row>
        <row r="269">
          <cell r="S269" t="str">
            <v xml:space="preserve"> - </v>
          </cell>
          <cell r="T269">
            <v>0</v>
          </cell>
        </row>
        <row r="270">
          <cell r="S270" t="str">
            <v xml:space="preserve"> - </v>
          </cell>
          <cell r="T270">
            <v>0</v>
          </cell>
        </row>
        <row r="271">
          <cell r="S271" t="str">
            <v xml:space="preserve"> - </v>
          </cell>
          <cell r="T271">
            <v>0</v>
          </cell>
        </row>
        <row r="272">
          <cell r="S272" t="str">
            <v xml:space="preserve"> - </v>
          </cell>
          <cell r="T272">
            <v>0</v>
          </cell>
        </row>
        <row r="273">
          <cell r="S273" t="str">
            <v xml:space="preserve"> - </v>
          </cell>
          <cell r="T273">
            <v>0</v>
          </cell>
        </row>
        <row r="274">
          <cell r="S274" t="str">
            <v xml:space="preserve"> - </v>
          </cell>
          <cell r="T274">
            <v>0</v>
          </cell>
        </row>
        <row r="275">
          <cell r="S275" t="str">
            <v xml:space="preserve"> - </v>
          </cell>
          <cell r="T275">
            <v>0</v>
          </cell>
        </row>
        <row r="276">
          <cell r="S276" t="str">
            <v xml:space="preserve"> - </v>
          </cell>
          <cell r="T276">
            <v>0</v>
          </cell>
        </row>
        <row r="277">
          <cell r="S277" t="str">
            <v xml:space="preserve"> - </v>
          </cell>
          <cell r="T277">
            <v>0</v>
          </cell>
        </row>
        <row r="278">
          <cell r="S278" t="str">
            <v xml:space="preserve"> - </v>
          </cell>
          <cell r="T278">
            <v>0</v>
          </cell>
        </row>
        <row r="279">
          <cell r="S279" t="str">
            <v xml:space="preserve"> - </v>
          </cell>
          <cell r="T279">
            <v>0</v>
          </cell>
        </row>
        <row r="280">
          <cell r="S280" t="str">
            <v xml:space="preserve"> - </v>
          </cell>
          <cell r="T280">
            <v>0</v>
          </cell>
        </row>
        <row r="281">
          <cell r="S281" t="str">
            <v xml:space="preserve"> - </v>
          </cell>
          <cell r="T281">
            <v>0</v>
          </cell>
        </row>
        <row r="282">
          <cell r="S282" t="str">
            <v xml:space="preserve"> - </v>
          </cell>
          <cell r="T282">
            <v>0</v>
          </cell>
        </row>
        <row r="283">
          <cell r="S283" t="str">
            <v xml:space="preserve"> - </v>
          </cell>
          <cell r="T283">
            <v>0</v>
          </cell>
        </row>
        <row r="284">
          <cell r="S284" t="str">
            <v xml:space="preserve"> - </v>
          </cell>
          <cell r="T284">
            <v>0</v>
          </cell>
        </row>
        <row r="285">
          <cell r="S285" t="str">
            <v xml:space="preserve"> - </v>
          </cell>
          <cell r="T285">
            <v>0</v>
          </cell>
        </row>
        <row r="286">
          <cell r="S286" t="str">
            <v xml:space="preserve"> - </v>
          </cell>
          <cell r="T286">
            <v>0</v>
          </cell>
        </row>
        <row r="287">
          <cell r="S287" t="str">
            <v xml:space="preserve"> - </v>
          </cell>
          <cell r="T287">
            <v>0</v>
          </cell>
        </row>
        <row r="288">
          <cell r="S288" t="str">
            <v xml:space="preserve"> - </v>
          </cell>
          <cell r="T288">
            <v>0</v>
          </cell>
        </row>
        <row r="289">
          <cell r="S289" t="str">
            <v xml:space="preserve"> - </v>
          </cell>
          <cell r="T289">
            <v>0</v>
          </cell>
        </row>
        <row r="290">
          <cell r="S290" t="str">
            <v xml:space="preserve"> - </v>
          </cell>
          <cell r="T290">
            <v>0</v>
          </cell>
        </row>
        <row r="291">
          <cell r="S291" t="str">
            <v xml:space="preserve"> - </v>
          </cell>
          <cell r="T291">
            <v>0</v>
          </cell>
        </row>
        <row r="292">
          <cell r="S292" t="str">
            <v xml:space="preserve"> - </v>
          </cell>
          <cell r="T292">
            <v>0</v>
          </cell>
        </row>
        <row r="293">
          <cell r="S293" t="str">
            <v xml:space="preserve"> - </v>
          </cell>
          <cell r="T293">
            <v>0</v>
          </cell>
        </row>
        <row r="294">
          <cell r="S294" t="str">
            <v xml:space="preserve"> - </v>
          </cell>
          <cell r="T294">
            <v>0</v>
          </cell>
        </row>
        <row r="295">
          <cell r="S295" t="str">
            <v xml:space="preserve"> - </v>
          </cell>
          <cell r="T295">
            <v>0</v>
          </cell>
        </row>
        <row r="296">
          <cell r="S296" t="str">
            <v xml:space="preserve"> - </v>
          </cell>
          <cell r="T296">
            <v>0</v>
          </cell>
        </row>
        <row r="297">
          <cell r="S297" t="str">
            <v xml:space="preserve"> - </v>
          </cell>
          <cell r="T297">
            <v>0</v>
          </cell>
        </row>
        <row r="298">
          <cell r="S298" t="str">
            <v xml:space="preserve"> - </v>
          </cell>
          <cell r="T298">
            <v>0</v>
          </cell>
        </row>
        <row r="299">
          <cell r="S299" t="str">
            <v xml:space="preserve"> - </v>
          </cell>
          <cell r="T299">
            <v>0</v>
          </cell>
        </row>
        <row r="300">
          <cell r="S300" t="str">
            <v xml:space="preserve"> - </v>
          </cell>
          <cell r="T300">
            <v>0</v>
          </cell>
        </row>
        <row r="301">
          <cell r="S301" t="str">
            <v xml:space="preserve"> - </v>
          </cell>
          <cell r="T301">
            <v>0</v>
          </cell>
        </row>
        <row r="302">
          <cell r="S302" t="str">
            <v xml:space="preserve"> - </v>
          </cell>
          <cell r="T302">
            <v>0</v>
          </cell>
        </row>
        <row r="303">
          <cell r="S303" t="str">
            <v xml:space="preserve"> - </v>
          </cell>
          <cell r="T303">
            <v>0</v>
          </cell>
        </row>
        <row r="304">
          <cell r="S304" t="str">
            <v xml:space="preserve"> - </v>
          </cell>
          <cell r="T304">
            <v>0</v>
          </cell>
        </row>
        <row r="305">
          <cell r="S305" t="str">
            <v xml:space="preserve"> - </v>
          </cell>
          <cell r="T305">
            <v>0</v>
          </cell>
        </row>
        <row r="306">
          <cell r="S306" t="str">
            <v xml:space="preserve"> - </v>
          </cell>
          <cell r="T306">
            <v>0</v>
          </cell>
        </row>
        <row r="307">
          <cell r="S307" t="str">
            <v xml:space="preserve"> - </v>
          </cell>
          <cell r="T307">
            <v>0</v>
          </cell>
        </row>
        <row r="308">
          <cell r="S308" t="str">
            <v xml:space="preserve"> - </v>
          </cell>
          <cell r="T308">
            <v>0</v>
          </cell>
        </row>
        <row r="309">
          <cell r="S309" t="str">
            <v xml:space="preserve"> - </v>
          </cell>
          <cell r="T309">
            <v>0</v>
          </cell>
        </row>
        <row r="310">
          <cell r="S310" t="str">
            <v xml:space="preserve"> - </v>
          </cell>
          <cell r="T310">
            <v>0</v>
          </cell>
        </row>
        <row r="311">
          <cell r="S311" t="str">
            <v xml:space="preserve"> - </v>
          </cell>
          <cell r="T311">
            <v>0</v>
          </cell>
        </row>
        <row r="312">
          <cell r="S312" t="str">
            <v xml:space="preserve"> - </v>
          </cell>
          <cell r="T312">
            <v>0</v>
          </cell>
        </row>
        <row r="313">
          <cell r="S313" t="str">
            <v xml:space="preserve"> - </v>
          </cell>
          <cell r="T313">
            <v>0</v>
          </cell>
        </row>
        <row r="314">
          <cell r="S314" t="str">
            <v xml:space="preserve"> - </v>
          </cell>
          <cell r="T314">
            <v>0</v>
          </cell>
        </row>
        <row r="315">
          <cell r="S315" t="str">
            <v xml:space="preserve"> - </v>
          </cell>
          <cell r="T315">
            <v>0</v>
          </cell>
        </row>
        <row r="316">
          <cell r="S316" t="str">
            <v xml:space="preserve"> - </v>
          </cell>
          <cell r="T316">
            <v>0</v>
          </cell>
        </row>
        <row r="317">
          <cell r="S317" t="str">
            <v xml:space="preserve"> - </v>
          </cell>
          <cell r="T317">
            <v>0</v>
          </cell>
        </row>
        <row r="318">
          <cell r="S318" t="str">
            <v xml:space="preserve"> - </v>
          </cell>
          <cell r="T318">
            <v>0</v>
          </cell>
        </row>
        <row r="319">
          <cell r="S319" t="str">
            <v xml:space="preserve"> - </v>
          </cell>
          <cell r="T319">
            <v>0</v>
          </cell>
        </row>
        <row r="320">
          <cell r="S320" t="str">
            <v xml:space="preserve"> - </v>
          </cell>
          <cell r="T320">
            <v>0</v>
          </cell>
        </row>
        <row r="321">
          <cell r="S321" t="str">
            <v xml:space="preserve"> - </v>
          </cell>
          <cell r="T321">
            <v>0</v>
          </cell>
        </row>
        <row r="322">
          <cell r="S322" t="str">
            <v xml:space="preserve"> - </v>
          </cell>
          <cell r="T322">
            <v>0</v>
          </cell>
        </row>
        <row r="323">
          <cell r="S323" t="str">
            <v xml:space="preserve"> - </v>
          </cell>
          <cell r="T323">
            <v>0</v>
          </cell>
        </row>
        <row r="324">
          <cell r="S324" t="str">
            <v xml:space="preserve"> - </v>
          </cell>
          <cell r="T324">
            <v>0</v>
          </cell>
        </row>
        <row r="325">
          <cell r="S325" t="str">
            <v xml:space="preserve"> - </v>
          </cell>
          <cell r="T325">
            <v>0</v>
          </cell>
        </row>
        <row r="326">
          <cell r="S326" t="str">
            <v xml:space="preserve"> - </v>
          </cell>
          <cell r="T326">
            <v>0</v>
          </cell>
        </row>
        <row r="327">
          <cell r="S327" t="str">
            <v xml:space="preserve"> - </v>
          </cell>
          <cell r="T327">
            <v>0</v>
          </cell>
        </row>
        <row r="328">
          <cell r="S328" t="str">
            <v xml:space="preserve"> - </v>
          </cell>
          <cell r="T328">
            <v>0</v>
          </cell>
        </row>
        <row r="329">
          <cell r="S329" t="str">
            <v xml:space="preserve"> - </v>
          </cell>
          <cell r="T329">
            <v>0</v>
          </cell>
        </row>
        <row r="330">
          <cell r="S330" t="str">
            <v xml:space="preserve"> - </v>
          </cell>
          <cell r="T330">
            <v>0</v>
          </cell>
        </row>
        <row r="331">
          <cell r="S331" t="str">
            <v xml:space="preserve"> - </v>
          </cell>
          <cell r="T331">
            <v>0</v>
          </cell>
        </row>
        <row r="332">
          <cell r="S332" t="str">
            <v xml:space="preserve"> - </v>
          </cell>
          <cell r="T332">
            <v>0</v>
          </cell>
        </row>
        <row r="333">
          <cell r="S333" t="str">
            <v xml:space="preserve"> - </v>
          </cell>
          <cell r="T333">
            <v>0</v>
          </cell>
        </row>
        <row r="334">
          <cell r="S334" t="str">
            <v xml:space="preserve"> - </v>
          </cell>
          <cell r="T334">
            <v>0</v>
          </cell>
        </row>
        <row r="335">
          <cell r="S335" t="str">
            <v xml:space="preserve"> - </v>
          </cell>
          <cell r="T335">
            <v>0</v>
          </cell>
        </row>
        <row r="336">
          <cell r="S336" t="str">
            <v xml:space="preserve"> - </v>
          </cell>
          <cell r="T336">
            <v>0</v>
          </cell>
        </row>
        <row r="337">
          <cell r="S337" t="str">
            <v xml:space="preserve"> - </v>
          </cell>
          <cell r="T337">
            <v>0</v>
          </cell>
        </row>
        <row r="338">
          <cell r="S338" t="str">
            <v xml:space="preserve"> - </v>
          </cell>
          <cell r="T338">
            <v>0</v>
          </cell>
        </row>
        <row r="339">
          <cell r="S339" t="str">
            <v xml:space="preserve"> - </v>
          </cell>
          <cell r="T339">
            <v>0</v>
          </cell>
        </row>
        <row r="340">
          <cell r="S340" t="str">
            <v xml:space="preserve"> - </v>
          </cell>
          <cell r="T340">
            <v>0</v>
          </cell>
        </row>
        <row r="341">
          <cell r="S341" t="str">
            <v xml:space="preserve"> - </v>
          </cell>
          <cell r="T341">
            <v>0</v>
          </cell>
        </row>
        <row r="342">
          <cell r="S342" t="str">
            <v xml:space="preserve"> - </v>
          </cell>
          <cell r="T342">
            <v>0</v>
          </cell>
        </row>
        <row r="343">
          <cell r="S343" t="str">
            <v xml:space="preserve"> - </v>
          </cell>
          <cell r="T343">
            <v>0</v>
          </cell>
        </row>
        <row r="344">
          <cell r="S344" t="str">
            <v xml:space="preserve"> - </v>
          </cell>
          <cell r="T344">
            <v>0</v>
          </cell>
        </row>
        <row r="345">
          <cell r="S345" t="str">
            <v xml:space="preserve"> - </v>
          </cell>
          <cell r="T345">
            <v>0</v>
          </cell>
        </row>
        <row r="346">
          <cell r="S346" t="str">
            <v xml:space="preserve"> - </v>
          </cell>
          <cell r="T346">
            <v>0</v>
          </cell>
        </row>
        <row r="347">
          <cell r="S347" t="str">
            <v xml:space="preserve"> - </v>
          </cell>
          <cell r="T347">
            <v>0</v>
          </cell>
        </row>
        <row r="348">
          <cell r="S348" t="str">
            <v xml:space="preserve"> - </v>
          </cell>
          <cell r="T348">
            <v>0</v>
          </cell>
        </row>
        <row r="349">
          <cell r="S349" t="str">
            <v xml:space="preserve"> - </v>
          </cell>
          <cell r="T349">
            <v>0</v>
          </cell>
        </row>
        <row r="350">
          <cell r="S350" t="str">
            <v xml:space="preserve"> - </v>
          </cell>
          <cell r="T350">
            <v>0</v>
          </cell>
        </row>
        <row r="351">
          <cell r="S351" t="str">
            <v xml:space="preserve"> - </v>
          </cell>
          <cell r="T351">
            <v>0</v>
          </cell>
        </row>
        <row r="352">
          <cell r="S352" t="str">
            <v xml:space="preserve"> - </v>
          </cell>
          <cell r="T352">
            <v>0</v>
          </cell>
        </row>
        <row r="353">
          <cell r="S353" t="str">
            <v xml:space="preserve"> - </v>
          </cell>
          <cell r="T353">
            <v>0</v>
          </cell>
        </row>
        <row r="354">
          <cell r="S354" t="str">
            <v xml:space="preserve"> - </v>
          </cell>
          <cell r="T354">
            <v>0</v>
          </cell>
        </row>
        <row r="355">
          <cell r="S355" t="str">
            <v xml:space="preserve"> - </v>
          </cell>
          <cell r="T355">
            <v>0</v>
          </cell>
        </row>
        <row r="356">
          <cell r="S356" t="str">
            <v xml:space="preserve"> - </v>
          </cell>
          <cell r="T356">
            <v>0</v>
          </cell>
        </row>
        <row r="357">
          <cell r="S357" t="str">
            <v xml:space="preserve"> - </v>
          </cell>
          <cell r="T357">
            <v>0</v>
          </cell>
        </row>
        <row r="358">
          <cell r="S358" t="str">
            <v xml:space="preserve"> - </v>
          </cell>
          <cell r="T358">
            <v>0</v>
          </cell>
        </row>
        <row r="359">
          <cell r="S359" t="str">
            <v xml:space="preserve"> - </v>
          </cell>
          <cell r="T359">
            <v>0</v>
          </cell>
        </row>
        <row r="360">
          <cell r="S360" t="str">
            <v xml:space="preserve"> - </v>
          </cell>
          <cell r="T360">
            <v>0</v>
          </cell>
        </row>
        <row r="361">
          <cell r="S361" t="str">
            <v xml:space="preserve"> - </v>
          </cell>
          <cell r="T361">
            <v>0</v>
          </cell>
        </row>
        <row r="362">
          <cell r="S362" t="str">
            <v xml:space="preserve"> - </v>
          </cell>
          <cell r="T362">
            <v>0</v>
          </cell>
        </row>
        <row r="363">
          <cell r="S363" t="str">
            <v xml:space="preserve"> - </v>
          </cell>
          <cell r="T363">
            <v>0</v>
          </cell>
        </row>
        <row r="364">
          <cell r="S364" t="str">
            <v xml:space="preserve"> - </v>
          </cell>
          <cell r="T364">
            <v>0</v>
          </cell>
        </row>
        <row r="365">
          <cell r="S365" t="str">
            <v xml:space="preserve"> - </v>
          </cell>
          <cell r="T365">
            <v>0</v>
          </cell>
        </row>
        <row r="366">
          <cell r="S366" t="str">
            <v xml:space="preserve"> - </v>
          </cell>
          <cell r="T366">
            <v>0</v>
          </cell>
        </row>
        <row r="367">
          <cell r="S367" t="str">
            <v xml:space="preserve"> - </v>
          </cell>
          <cell r="T367">
            <v>0</v>
          </cell>
        </row>
        <row r="368">
          <cell r="S368" t="str">
            <v xml:space="preserve"> - </v>
          </cell>
          <cell r="T368">
            <v>0</v>
          </cell>
        </row>
        <row r="369">
          <cell r="S369" t="str">
            <v xml:space="preserve"> - </v>
          </cell>
          <cell r="T369">
            <v>0</v>
          </cell>
        </row>
        <row r="370">
          <cell r="S370" t="str">
            <v xml:space="preserve"> - </v>
          </cell>
          <cell r="T370">
            <v>0</v>
          </cell>
        </row>
        <row r="371">
          <cell r="S371" t="str">
            <v xml:space="preserve"> - </v>
          </cell>
          <cell r="T371">
            <v>0</v>
          </cell>
        </row>
        <row r="372">
          <cell r="S372" t="str">
            <v xml:space="preserve"> - </v>
          </cell>
          <cell r="T372">
            <v>0</v>
          </cell>
        </row>
        <row r="373">
          <cell r="S373" t="str">
            <v xml:space="preserve"> - </v>
          </cell>
          <cell r="T373">
            <v>0</v>
          </cell>
        </row>
        <row r="374">
          <cell r="S374" t="str">
            <v xml:space="preserve"> - </v>
          </cell>
          <cell r="T374">
            <v>0</v>
          </cell>
        </row>
        <row r="375">
          <cell r="S375" t="str">
            <v xml:space="preserve"> - </v>
          </cell>
          <cell r="T375">
            <v>0</v>
          </cell>
        </row>
        <row r="376">
          <cell r="S376" t="str">
            <v xml:space="preserve"> - </v>
          </cell>
          <cell r="T376">
            <v>0</v>
          </cell>
        </row>
        <row r="377">
          <cell r="S377" t="str">
            <v xml:space="preserve"> - </v>
          </cell>
          <cell r="T377">
            <v>0</v>
          </cell>
        </row>
        <row r="378">
          <cell r="S378" t="str">
            <v xml:space="preserve"> - </v>
          </cell>
          <cell r="T378">
            <v>0</v>
          </cell>
        </row>
        <row r="379">
          <cell r="S379" t="str">
            <v xml:space="preserve"> - </v>
          </cell>
          <cell r="T379">
            <v>0</v>
          </cell>
        </row>
        <row r="380">
          <cell r="S380" t="str">
            <v xml:space="preserve"> - </v>
          </cell>
          <cell r="T380">
            <v>0</v>
          </cell>
        </row>
        <row r="381">
          <cell r="S381" t="str">
            <v xml:space="preserve"> - </v>
          </cell>
          <cell r="T381">
            <v>0</v>
          </cell>
        </row>
        <row r="382">
          <cell r="S382" t="str">
            <v xml:space="preserve"> - </v>
          </cell>
          <cell r="T382">
            <v>0</v>
          </cell>
        </row>
        <row r="383">
          <cell r="S383" t="str">
            <v xml:space="preserve"> - </v>
          </cell>
          <cell r="T383">
            <v>0</v>
          </cell>
        </row>
        <row r="384">
          <cell r="S384" t="str">
            <v xml:space="preserve"> - </v>
          </cell>
          <cell r="T384">
            <v>0</v>
          </cell>
        </row>
        <row r="385">
          <cell r="S385" t="str">
            <v xml:space="preserve"> - </v>
          </cell>
          <cell r="T385">
            <v>0</v>
          </cell>
        </row>
        <row r="386">
          <cell r="S386" t="str">
            <v xml:space="preserve"> - </v>
          </cell>
          <cell r="T386">
            <v>0</v>
          </cell>
        </row>
        <row r="387">
          <cell r="S387" t="str">
            <v xml:space="preserve"> - </v>
          </cell>
          <cell r="T387">
            <v>0</v>
          </cell>
        </row>
        <row r="388">
          <cell r="S388" t="str">
            <v xml:space="preserve"> - </v>
          </cell>
          <cell r="T388">
            <v>0</v>
          </cell>
        </row>
        <row r="389">
          <cell r="S389" t="str">
            <v xml:space="preserve"> - </v>
          </cell>
          <cell r="T389">
            <v>0</v>
          </cell>
        </row>
        <row r="390">
          <cell r="S390" t="str">
            <v xml:space="preserve"> - </v>
          </cell>
          <cell r="T390">
            <v>0</v>
          </cell>
        </row>
        <row r="391">
          <cell r="S391" t="str">
            <v xml:space="preserve"> - </v>
          </cell>
          <cell r="T391">
            <v>0</v>
          </cell>
        </row>
        <row r="392">
          <cell r="S392" t="str">
            <v xml:space="preserve"> - </v>
          </cell>
          <cell r="T392">
            <v>0</v>
          </cell>
        </row>
        <row r="393">
          <cell r="S393" t="str">
            <v xml:space="preserve"> - </v>
          </cell>
          <cell r="T393">
            <v>0</v>
          </cell>
        </row>
        <row r="394">
          <cell r="S394" t="str">
            <v xml:space="preserve"> - </v>
          </cell>
          <cell r="T394">
            <v>0</v>
          </cell>
        </row>
        <row r="395">
          <cell r="S395" t="str">
            <v xml:space="preserve"> - </v>
          </cell>
          <cell r="T395">
            <v>0</v>
          </cell>
        </row>
        <row r="396">
          <cell r="S396" t="str">
            <v xml:space="preserve"> - </v>
          </cell>
          <cell r="T396">
            <v>0</v>
          </cell>
        </row>
        <row r="397">
          <cell r="S397" t="str">
            <v xml:space="preserve"> - </v>
          </cell>
          <cell r="T397">
            <v>0</v>
          </cell>
        </row>
        <row r="398">
          <cell r="S398" t="str">
            <v xml:space="preserve"> - </v>
          </cell>
          <cell r="T398">
            <v>0</v>
          </cell>
        </row>
        <row r="399">
          <cell r="S399" t="str">
            <v xml:space="preserve"> - </v>
          </cell>
          <cell r="T399">
            <v>0</v>
          </cell>
        </row>
        <row r="400">
          <cell r="S400" t="str">
            <v xml:space="preserve"> - </v>
          </cell>
          <cell r="T400">
            <v>0</v>
          </cell>
        </row>
        <row r="401">
          <cell r="S401" t="str">
            <v xml:space="preserve"> - </v>
          </cell>
          <cell r="T401">
            <v>0</v>
          </cell>
        </row>
        <row r="402">
          <cell r="S402" t="str">
            <v xml:space="preserve"> - </v>
          </cell>
          <cell r="T402">
            <v>0</v>
          </cell>
        </row>
        <row r="403">
          <cell r="S403" t="str">
            <v xml:space="preserve"> - </v>
          </cell>
          <cell r="T403">
            <v>0</v>
          </cell>
        </row>
        <row r="404">
          <cell r="S404" t="str">
            <v xml:space="preserve"> - </v>
          </cell>
          <cell r="T404">
            <v>0</v>
          </cell>
        </row>
        <row r="405">
          <cell r="S405" t="str">
            <v xml:space="preserve"> - </v>
          </cell>
          <cell r="T405">
            <v>0</v>
          </cell>
        </row>
        <row r="406">
          <cell r="S406" t="str">
            <v xml:space="preserve"> - </v>
          </cell>
          <cell r="T406">
            <v>0</v>
          </cell>
        </row>
        <row r="407">
          <cell r="S407" t="str">
            <v xml:space="preserve"> - </v>
          </cell>
          <cell r="T407">
            <v>0</v>
          </cell>
        </row>
        <row r="408">
          <cell r="S408" t="str">
            <v xml:space="preserve"> - </v>
          </cell>
          <cell r="T408">
            <v>0</v>
          </cell>
        </row>
        <row r="409">
          <cell r="S409" t="str">
            <v xml:space="preserve"> - </v>
          </cell>
          <cell r="T409">
            <v>0</v>
          </cell>
        </row>
        <row r="410">
          <cell r="S410" t="str">
            <v xml:space="preserve"> - </v>
          </cell>
          <cell r="T410">
            <v>0</v>
          </cell>
        </row>
        <row r="411">
          <cell r="S411" t="str">
            <v xml:space="preserve"> - </v>
          </cell>
          <cell r="T411">
            <v>0</v>
          </cell>
        </row>
        <row r="412">
          <cell r="S412" t="str">
            <v xml:space="preserve"> - </v>
          </cell>
          <cell r="T412">
            <v>0</v>
          </cell>
        </row>
        <row r="413">
          <cell r="S413" t="str">
            <v xml:space="preserve"> - </v>
          </cell>
          <cell r="T413">
            <v>0</v>
          </cell>
        </row>
        <row r="414">
          <cell r="S414" t="str">
            <v xml:space="preserve"> - </v>
          </cell>
          <cell r="T414">
            <v>0</v>
          </cell>
        </row>
        <row r="415">
          <cell r="S415" t="str">
            <v xml:space="preserve"> - </v>
          </cell>
          <cell r="T415">
            <v>0</v>
          </cell>
        </row>
        <row r="416">
          <cell r="S416" t="str">
            <v xml:space="preserve"> - </v>
          </cell>
          <cell r="T416">
            <v>0</v>
          </cell>
        </row>
        <row r="417">
          <cell r="S417" t="str">
            <v xml:space="preserve"> - </v>
          </cell>
          <cell r="T417">
            <v>0</v>
          </cell>
        </row>
        <row r="418">
          <cell r="S418" t="str">
            <v xml:space="preserve"> - </v>
          </cell>
          <cell r="T418">
            <v>0</v>
          </cell>
        </row>
        <row r="419">
          <cell r="S419" t="str">
            <v xml:space="preserve"> - </v>
          </cell>
          <cell r="T419">
            <v>0</v>
          </cell>
        </row>
        <row r="420">
          <cell r="S420" t="str">
            <v xml:space="preserve"> - </v>
          </cell>
          <cell r="T420">
            <v>0</v>
          </cell>
        </row>
        <row r="421">
          <cell r="S421" t="str">
            <v xml:space="preserve"> - </v>
          </cell>
          <cell r="T421">
            <v>0</v>
          </cell>
        </row>
        <row r="422">
          <cell r="S422" t="str">
            <v xml:space="preserve"> - </v>
          </cell>
          <cell r="T422">
            <v>0</v>
          </cell>
        </row>
        <row r="423">
          <cell r="S423" t="str">
            <v xml:space="preserve"> - </v>
          </cell>
          <cell r="T423">
            <v>0</v>
          </cell>
        </row>
        <row r="424">
          <cell r="S424" t="str">
            <v xml:space="preserve"> - </v>
          </cell>
          <cell r="T424">
            <v>0</v>
          </cell>
        </row>
        <row r="425">
          <cell r="S425" t="str">
            <v xml:space="preserve"> - </v>
          </cell>
          <cell r="T425">
            <v>0</v>
          </cell>
        </row>
        <row r="426">
          <cell r="S426" t="str">
            <v xml:space="preserve"> - </v>
          </cell>
          <cell r="T426">
            <v>0</v>
          </cell>
        </row>
        <row r="427">
          <cell r="S427" t="str">
            <v xml:space="preserve"> - </v>
          </cell>
          <cell r="T427">
            <v>0</v>
          </cell>
        </row>
        <row r="428">
          <cell r="S428" t="str">
            <v xml:space="preserve"> - </v>
          </cell>
          <cell r="T428">
            <v>0</v>
          </cell>
        </row>
        <row r="429">
          <cell r="S429" t="str">
            <v xml:space="preserve"> - </v>
          </cell>
          <cell r="T429">
            <v>0</v>
          </cell>
        </row>
        <row r="430">
          <cell r="S430" t="str">
            <v xml:space="preserve"> - </v>
          </cell>
          <cell r="T430">
            <v>0</v>
          </cell>
        </row>
        <row r="431">
          <cell r="S431" t="str">
            <v xml:space="preserve"> - </v>
          </cell>
          <cell r="T431">
            <v>0</v>
          </cell>
        </row>
        <row r="432">
          <cell r="S432" t="str">
            <v xml:space="preserve"> - </v>
          </cell>
          <cell r="T432">
            <v>0</v>
          </cell>
        </row>
        <row r="433">
          <cell r="S433" t="str">
            <v xml:space="preserve"> - </v>
          </cell>
          <cell r="T433">
            <v>0</v>
          </cell>
        </row>
        <row r="434">
          <cell r="S434" t="str">
            <v xml:space="preserve"> - </v>
          </cell>
          <cell r="T434">
            <v>0</v>
          </cell>
        </row>
        <row r="435">
          <cell r="S435" t="str">
            <v xml:space="preserve"> - </v>
          </cell>
          <cell r="T435">
            <v>0</v>
          </cell>
        </row>
        <row r="436">
          <cell r="S436" t="str">
            <v xml:space="preserve"> - </v>
          </cell>
          <cell r="T436">
            <v>0</v>
          </cell>
        </row>
        <row r="437">
          <cell r="S437" t="str">
            <v xml:space="preserve"> - </v>
          </cell>
          <cell r="T437">
            <v>0</v>
          </cell>
        </row>
        <row r="438">
          <cell r="S438" t="str">
            <v xml:space="preserve"> - </v>
          </cell>
          <cell r="T438">
            <v>0</v>
          </cell>
        </row>
        <row r="439">
          <cell r="S439" t="str">
            <v xml:space="preserve"> - </v>
          </cell>
          <cell r="T439">
            <v>0</v>
          </cell>
        </row>
        <row r="440">
          <cell r="S440" t="str">
            <v xml:space="preserve"> - </v>
          </cell>
          <cell r="T440">
            <v>0</v>
          </cell>
        </row>
        <row r="441">
          <cell r="S441" t="str">
            <v xml:space="preserve"> - </v>
          </cell>
          <cell r="T441">
            <v>0</v>
          </cell>
        </row>
        <row r="442">
          <cell r="S442" t="str">
            <v xml:space="preserve"> - </v>
          </cell>
          <cell r="T442">
            <v>0</v>
          </cell>
        </row>
        <row r="443">
          <cell r="S443" t="str">
            <v xml:space="preserve"> - </v>
          </cell>
          <cell r="T443">
            <v>0</v>
          </cell>
        </row>
        <row r="444">
          <cell r="S444" t="str">
            <v xml:space="preserve"> - </v>
          </cell>
          <cell r="T444">
            <v>0</v>
          </cell>
        </row>
        <row r="445">
          <cell r="S445" t="str">
            <v xml:space="preserve"> - </v>
          </cell>
          <cell r="T445">
            <v>0</v>
          </cell>
        </row>
        <row r="446">
          <cell r="S446" t="str">
            <v xml:space="preserve"> - </v>
          </cell>
          <cell r="T446">
            <v>0</v>
          </cell>
        </row>
        <row r="447">
          <cell r="S447" t="str">
            <v xml:space="preserve"> - </v>
          </cell>
          <cell r="T447">
            <v>0</v>
          </cell>
        </row>
        <row r="448">
          <cell r="S448" t="str">
            <v xml:space="preserve"> - </v>
          </cell>
          <cell r="T448">
            <v>0</v>
          </cell>
        </row>
        <row r="449">
          <cell r="S449" t="str">
            <v xml:space="preserve"> - </v>
          </cell>
          <cell r="T449">
            <v>0</v>
          </cell>
        </row>
        <row r="450">
          <cell r="S450" t="str">
            <v xml:space="preserve"> - </v>
          </cell>
          <cell r="T450">
            <v>0</v>
          </cell>
        </row>
        <row r="451">
          <cell r="S451" t="str">
            <v xml:space="preserve"> - </v>
          </cell>
          <cell r="T451">
            <v>0</v>
          </cell>
        </row>
        <row r="452">
          <cell r="S452" t="str">
            <v xml:space="preserve"> - </v>
          </cell>
          <cell r="T452">
            <v>0</v>
          </cell>
        </row>
        <row r="453">
          <cell r="S453" t="str">
            <v xml:space="preserve"> - </v>
          </cell>
          <cell r="T453">
            <v>0</v>
          </cell>
        </row>
        <row r="454">
          <cell r="S454" t="str">
            <v xml:space="preserve"> - </v>
          </cell>
          <cell r="T454">
            <v>0</v>
          </cell>
        </row>
        <row r="455">
          <cell r="S455" t="str">
            <v xml:space="preserve"> - </v>
          </cell>
          <cell r="T455">
            <v>0</v>
          </cell>
        </row>
        <row r="456">
          <cell r="S456" t="str">
            <v xml:space="preserve"> - </v>
          </cell>
          <cell r="T456">
            <v>0</v>
          </cell>
        </row>
        <row r="457">
          <cell r="S457" t="str">
            <v xml:space="preserve"> - </v>
          </cell>
          <cell r="T457">
            <v>0</v>
          </cell>
        </row>
        <row r="458">
          <cell r="S458" t="str">
            <v xml:space="preserve"> - </v>
          </cell>
          <cell r="T458">
            <v>0</v>
          </cell>
        </row>
        <row r="459">
          <cell r="S459" t="str">
            <v xml:space="preserve"> - </v>
          </cell>
          <cell r="T459">
            <v>0</v>
          </cell>
        </row>
        <row r="460">
          <cell r="S460" t="str">
            <v xml:space="preserve"> - </v>
          </cell>
          <cell r="T460">
            <v>0</v>
          </cell>
        </row>
        <row r="461">
          <cell r="S461" t="str">
            <v xml:space="preserve"> - </v>
          </cell>
          <cell r="T461">
            <v>0</v>
          </cell>
        </row>
        <row r="462">
          <cell r="S462" t="str">
            <v xml:space="preserve"> - </v>
          </cell>
          <cell r="T462">
            <v>0</v>
          </cell>
        </row>
        <row r="463">
          <cell r="S463" t="str">
            <v xml:space="preserve"> - </v>
          </cell>
          <cell r="T463">
            <v>0</v>
          </cell>
        </row>
        <row r="464">
          <cell r="S464" t="str">
            <v xml:space="preserve"> - </v>
          </cell>
          <cell r="T464">
            <v>0</v>
          </cell>
        </row>
        <row r="465">
          <cell r="S465" t="str">
            <v xml:space="preserve"> - </v>
          </cell>
          <cell r="T465">
            <v>0</v>
          </cell>
        </row>
        <row r="466">
          <cell r="S466" t="str">
            <v xml:space="preserve"> - </v>
          </cell>
          <cell r="T466">
            <v>0</v>
          </cell>
        </row>
        <row r="467">
          <cell r="S467" t="str">
            <v xml:space="preserve"> - </v>
          </cell>
          <cell r="T467">
            <v>0</v>
          </cell>
        </row>
        <row r="468">
          <cell r="S468" t="str">
            <v xml:space="preserve"> - </v>
          </cell>
          <cell r="T468">
            <v>0</v>
          </cell>
        </row>
        <row r="469">
          <cell r="S469" t="str">
            <v xml:space="preserve"> - </v>
          </cell>
          <cell r="T469">
            <v>0</v>
          </cell>
        </row>
        <row r="470">
          <cell r="S470" t="str">
            <v xml:space="preserve"> - </v>
          </cell>
          <cell r="T470">
            <v>0</v>
          </cell>
        </row>
        <row r="471">
          <cell r="S471" t="str">
            <v xml:space="preserve"> - </v>
          </cell>
          <cell r="T471">
            <v>0</v>
          </cell>
        </row>
        <row r="472">
          <cell r="S472" t="str">
            <v xml:space="preserve"> - </v>
          </cell>
          <cell r="T472">
            <v>0</v>
          </cell>
        </row>
        <row r="473">
          <cell r="S473" t="str">
            <v xml:space="preserve"> - </v>
          </cell>
          <cell r="T473">
            <v>0</v>
          </cell>
        </row>
        <row r="474">
          <cell r="S474" t="str">
            <v xml:space="preserve"> - </v>
          </cell>
          <cell r="T474">
            <v>0</v>
          </cell>
        </row>
        <row r="475">
          <cell r="S475" t="str">
            <v xml:space="preserve"> - </v>
          </cell>
          <cell r="T475">
            <v>0</v>
          </cell>
        </row>
        <row r="476">
          <cell r="S476" t="str">
            <v xml:space="preserve"> - </v>
          </cell>
          <cell r="T476">
            <v>0</v>
          </cell>
        </row>
        <row r="477">
          <cell r="S477" t="str">
            <v xml:space="preserve"> - </v>
          </cell>
          <cell r="T477">
            <v>0</v>
          </cell>
        </row>
        <row r="478">
          <cell r="S478" t="str">
            <v xml:space="preserve"> - </v>
          </cell>
          <cell r="T478">
            <v>0</v>
          </cell>
        </row>
        <row r="479">
          <cell r="S479" t="str">
            <v xml:space="preserve"> - </v>
          </cell>
          <cell r="T479">
            <v>0</v>
          </cell>
        </row>
        <row r="480">
          <cell r="S480" t="str">
            <v xml:space="preserve"> - </v>
          </cell>
          <cell r="T480">
            <v>0</v>
          </cell>
        </row>
        <row r="481">
          <cell r="S481" t="str">
            <v xml:space="preserve"> - </v>
          </cell>
          <cell r="T481">
            <v>0</v>
          </cell>
        </row>
        <row r="482">
          <cell r="S482" t="str">
            <v xml:space="preserve"> - </v>
          </cell>
          <cell r="T482">
            <v>0</v>
          </cell>
        </row>
        <row r="483">
          <cell r="S483" t="str">
            <v xml:space="preserve"> - </v>
          </cell>
          <cell r="T483">
            <v>0</v>
          </cell>
        </row>
        <row r="484">
          <cell r="S484" t="str">
            <v xml:space="preserve"> - </v>
          </cell>
          <cell r="T484">
            <v>0</v>
          </cell>
        </row>
        <row r="485">
          <cell r="S485" t="str">
            <v xml:space="preserve"> - </v>
          </cell>
          <cell r="T485">
            <v>0</v>
          </cell>
        </row>
        <row r="486">
          <cell r="S486" t="str">
            <v xml:space="preserve"> - </v>
          </cell>
          <cell r="T486">
            <v>0</v>
          </cell>
        </row>
        <row r="487">
          <cell r="S487" t="str">
            <v xml:space="preserve"> - </v>
          </cell>
          <cell r="T487">
            <v>0</v>
          </cell>
        </row>
        <row r="488">
          <cell r="S488" t="str">
            <v xml:space="preserve"> - </v>
          </cell>
          <cell r="T488">
            <v>0</v>
          </cell>
        </row>
        <row r="489">
          <cell r="S489" t="str">
            <v xml:space="preserve"> - </v>
          </cell>
          <cell r="T489">
            <v>0</v>
          </cell>
        </row>
        <row r="490">
          <cell r="S490" t="str">
            <v xml:space="preserve"> - </v>
          </cell>
          <cell r="T490">
            <v>0</v>
          </cell>
        </row>
        <row r="491">
          <cell r="S491" t="str">
            <v xml:space="preserve"> - </v>
          </cell>
          <cell r="T491">
            <v>0</v>
          </cell>
        </row>
        <row r="492">
          <cell r="S492" t="str">
            <v xml:space="preserve"> - </v>
          </cell>
          <cell r="T492">
            <v>0</v>
          </cell>
        </row>
        <row r="493">
          <cell r="S493" t="str">
            <v xml:space="preserve"> - </v>
          </cell>
          <cell r="T493">
            <v>0</v>
          </cell>
        </row>
        <row r="494">
          <cell r="S494" t="str">
            <v xml:space="preserve"> - </v>
          </cell>
          <cell r="T494">
            <v>0</v>
          </cell>
        </row>
        <row r="495">
          <cell r="S495" t="str">
            <v xml:space="preserve"> - </v>
          </cell>
          <cell r="T495">
            <v>0</v>
          </cell>
        </row>
        <row r="496">
          <cell r="S496" t="str">
            <v xml:space="preserve"> - </v>
          </cell>
          <cell r="T496">
            <v>0</v>
          </cell>
        </row>
        <row r="497">
          <cell r="S497" t="str">
            <v xml:space="preserve"> - </v>
          </cell>
          <cell r="T497">
            <v>0</v>
          </cell>
        </row>
        <row r="498">
          <cell r="S498" t="str">
            <v xml:space="preserve"> - </v>
          </cell>
          <cell r="T498">
            <v>0</v>
          </cell>
        </row>
        <row r="499">
          <cell r="S499" t="str">
            <v xml:space="preserve"> - </v>
          </cell>
          <cell r="T499">
            <v>0</v>
          </cell>
        </row>
        <row r="500">
          <cell r="S500" t="str">
            <v xml:space="preserve"> - </v>
          </cell>
          <cell r="T500">
            <v>0</v>
          </cell>
        </row>
        <row r="501">
          <cell r="S501" t="str">
            <v xml:space="preserve"> - </v>
          </cell>
          <cell r="T501">
            <v>0</v>
          </cell>
        </row>
        <row r="502">
          <cell r="S502" t="str">
            <v xml:space="preserve"> - </v>
          </cell>
          <cell r="T502">
            <v>0</v>
          </cell>
        </row>
        <row r="503">
          <cell r="S503" t="str">
            <v xml:space="preserve"> - </v>
          </cell>
          <cell r="T503">
            <v>0</v>
          </cell>
        </row>
        <row r="504">
          <cell r="S504" t="str">
            <v xml:space="preserve"> - </v>
          </cell>
          <cell r="T504">
            <v>0</v>
          </cell>
        </row>
        <row r="505">
          <cell r="S505" t="str">
            <v xml:space="preserve"> - </v>
          </cell>
          <cell r="T505">
            <v>0</v>
          </cell>
        </row>
        <row r="506">
          <cell r="S506" t="str">
            <v xml:space="preserve"> - </v>
          </cell>
          <cell r="T506">
            <v>0</v>
          </cell>
        </row>
        <row r="507">
          <cell r="S507" t="str">
            <v xml:space="preserve"> - </v>
          </cell>
          <cell r="T507">
            <v>0</v>
          </cell>
        </row>
        <row r="508">
          <cell r="S508" t="str">
            <v xml:space="preserve"> - </v>
          </cell>
          <cell r="T508">
            <v>0</v>
          </cell>
        </row>
        <row r="509">
          <cell r="S509" t="str">
            <v xml:space="preserve"> - </v>
          </cell>
          <cell r="T509">
            <v>0</v>
          </cell>
        </row>
        <row r="510">
          <cell r="S510" t="str">
            <v xml:space="preserve"> - </v>
          </cell>
          <cell r="T510">
            <v>0</v>
          </cell>
        </row>
        <row r="511">
          <cell r="S511" t="str">
            <v xml:space="preserve"> - </v>
          </cell>
          <cell r="T511">
            <v>0</v>
          </cell>
        </row>
        <row r="512">
          <cell r="S512" t="str">
            <v xml:space="preserve"> - </v>
          </cell>
          <cell r="T512">
            <v>0</v>
          </cell>
        </row>
        <row r="513">
          <cell r="S513" t="str">
            <v xml:space="preserve"> - </v>
          </cell>
          <cell r="T513">
            <v>0</v>
          </cell>
        </row>
        <row r="514">
          <cell r="S514" t="str">
            <v xml:space="preserve"> - </v>
          </cell>
          <cell r="T514">
            <v>0</v>
          </cell>
        </row>
        <row r="515">
          <cell r="S515" t="str">
            <v xml:space="preserve"> - </v>
          </cell>
          <cell r="T515">
            <v>0</v>
          </cell>
        </row>
        <row r="516">
          <cell r="S516" t="str">
            <v xml:space="preserve"> - </v>
          </cell>
          <cell r="T516">
            <v>0</v>
          </cell>
        </row>
        <row r="517">
          <cell r="S517" t="str">
            <v xml:space="preserve"> - </v>
          </cell>
          <cell r="T517">
            <v>0</v>
          </cell>
        </row>
        <row r="518">
          <cell r="S518" t="str">
            <v xml:space="preserve"> - </v>
          </cell>
          <cell r="T518">
            <v>0</v>
          </cell>
        </row>
        <row r="519">
          <cell r="S519" t="str">
            <v xml:space="preserve"> - </v>
          </cell>
          <cell r="T519">
            <v>0</v>
          </cell>
        </row>
        <row r="520">
          <cell r="S520" t="str">
            <v xml:space="preserve"> - </v>
          </cell>
          <cell r="T520">
            <v>0</v>
          </cell>
        </row>
        <row r="521">
          <cell r="S521" t="str">
            <v xml:space="preserve"> - </v>
          </cell>
          <cell r="T521">
            <v>0</v>
          </cell>
        </row>
        <row r="522">
          <cell r="S522" t="str">
            <v xml:space="preserve"> - </v>
          </cell>
          <cell r="T522">
            <v>0</v>
          </cell>
        </row>
        <row r="523">
          <cell r="S523" t="str">
            <v xml:space="preserve"> - </v>
          </cell>
          <cell r="T523">
            <v>0</v>
          </cell>
        </row>
        <row r="524">
          <cell r="S524" t="str">
            <v xml:space="preserve"> - </v>
          </cell>
          <cell r="T524">
            <v>0</v>
          </cell>
        </row>
        <row r="525">
          <cell r="S525" t="str">
            <v xml:space="preserve"> - </v>
          </cell>
          <cell r="T525">
            <v>0</v>
          </cell>
        </row>
        <row r="526">
          <cell r="S526" t="str">
            <v xml:space="preserve"> - </v>
          </cell>
          <cell r="T526">
            <v>0</v>
          </cell>
        </row>
        <row r="527">
          <cell r="S527" t="str">
            <v xml:space="preserve"> - </v>
          </cell>
          <cell r="T527">
            <v>0</v>
          </cell>
        </row>
        <row r="528">
          <cell r="S528" t="str">
            <v xml:space="preserve"> - </v>
          </cell>
          <cell r="T528">
            <v>0</v>
          </cell>
        </row>
        <row r="529">
          <cell r="S529" t="str">
            <v xml:space="preserve"> - </v>
          </cell>
          <cell r="T529">
            <v>0</v>
          </cell>
        </row>
        <row r="530">
          <cell r="S530" t="str">
            <v xml:space="preserve"> - </v>
          </cell>
          <cell r="T530">
            <v>0</v>
          </cell>
        </row>
        <row r="531">
          <cell r="S531" t="str">
            <v xml:space="preserve"> - </v>
          </cell>
          <cell r="T531">
            <v>0</v>
          </cell>
        </row>
        <row r="532">
          <cell r="S532" t="str">
            <v xml:space="preserve"> - </v>
          </cell>
          <cell r="T532">
            <v>0</v>
          </cell>
        </row>
        <row r="533">
          <cell r="S533" t="str">
            <v xml:space="preserve"> - </v>
          </cell>
          <cell r="T533">
            <v>0</v>
          </cell>
        </row>
        <row r="534">
          <cell r="S534" t="str">
            <v xml:space="preserve"> - </v>
          </cell>
          <cell r="T534">
            <v>0</v>
          </cell>
        </row>
        <row r="535">
          <cell r="S535" t="str">
            <v xml:space="preserve"> - </v>
          </cell>
          <cell r="T535">
            <v>0</v>
          </cell>
        </row>
        <row r="536">
          <cell r="S536" t="str">
            <v xml:space="preserve"> - </v>
          </cell>
          <cell r="T536">
            <v>0</v>
          </cell>
        </row>
        <row r="537">
          <cell r="S537" t="str">
            <v xml:space="preserve"> - </v>
          </cell>
          <cell r="T537">
            <v>0</v>
          </cell>
        </row>
        <row r="538">
          <cell r="S538" t="str">
            <v xml:space="preserve"> - </v>
          </cell>
          <cell r="T538">
            <v>0</v>
          </cell>
        </row>
        <row r="539">
          <cell r="S539" t="str">
            <v xml:space="preserve"> - </v>
          </cell>
          <cell r="T539">
            <v>0</v>
          </cell>
        </row>
        <row r="540">
          <cell r="S540" t="str">
            <v xml:space="preserve"> - </v>
          </cell>
          <cell r="T540">
            <v>0</v>
          </cell>
        </row>
        <row r="541">
          <cell r="S541" t="str">
            <v xml:space="preserve"> - </v>
          </cell>
          <cell r="T541">
            <v>0</v>
          </cell>
        </row>
        <row r="542">
          <cell r="S542" t="str">
            <v xml:space="preserve"> - </v>
          </cell>
          <cell r="T542">
            <v>0</v>
          </cell>
        </row>
        <row r="543">
          <cell r="S543" t="str">
            <v xml:space="preserve"> - </v>
          </cell>
          <cell r="T543">
            <v>0</v>
          </cell>
        </row>
        <row r="544">
          <cell r="S544" t="str">
            <v xml:space="preserve"> - </v>
          </cell>
          <cell r="T544">
            <v>0</v>
          </cell>
        </row>
        <row r="545">
          <cell r="S545" t="str">
            <v xml:space="preserve"> - </v>
          </cell>
          <cell r="T545">
            <v>0</v>
          </cell>
        </row>
        <row r="546">
          <cell r="S546" t="str">
            <v xml:space="preserve"> - </v>
          </cell>
          <cell r="T546">
            <v>0</v>
          </cell>
        </row>
        <row r="547">
          <cell r="S547" t="str">
            <v xml:space="preserve"> - </v>
          </cell>
          <cell r="T547">
            <v>0</v>
          </cell>
        </row>
        <row r="548">
          <cell r="S548" t="str">
            <v xml:space="preserve"> - </v>
          </cell>
          <cell r="T548">
            <v>0</v>
          </cell>
        </row>
        <row r="549">
          <cell r="S549" t="str">
            <v xml:space="preserve"> - </v>
          </cell>
          <cell r="T549">
            <v>0</v>
          </cell>
        </row>
        <row r="550">
          <cell r="S550" t="str">
            <v xml:space="preserve"> - </v>
          </cell>
          <cell r="T550">
            <v>0</v>
          </cell>
        </row>
        <row r="551">
          <cell r="S551" t="str">
            <v xml:space="preserve"> - </v>
          </cell>
          <cell r="T551">
            <v>0</v>
          </cell>
        </row>
        <row r="552">
          <cell r="S552" t="str">
            <v xml:space="preserve"> - </v>
          </cell>
          <cell r="T552">
            <v>0</v>
          </cell>
        </row>
        <row r="553">
          <cell r="S553" t="str">
            <v xml:space="preserve"> - </v>
          </cell>
          <cell r="T553">
            <v>0</v>
          </cell>
        </row>
        <row r="554">
          <cell r="S554" t="str">
            <v xml:space="preserve"> - </v>
          </cell>
          <cell r="T554">
            <v>0</v>
          </cell>
        </row>
        <row r="555">
          <cell r="S555" t="str">
            <v xml:space="preserve"> - </v>
          </cell>
          <cell r="T555">
            <v>0</v>
          </cell>
        </row>
        <row r="556">
          <cell r="S556" t="str">
            <v xml:space="preserve"> - </v>
          </cell>
          <cell r="T556">
            <v>0</v>
          </cell>
        </row>
        <row r="557">
          <cell r="S557" t="str">
            <v xml:space="preserve"> - </v>
          </cell>
          <cell r="T557">
            <v>0</v>
          </cell>
        </row>
        <row r="558">
          <cell r="S558" t="str">
            <v xml:space="preserve"> - </v>
          </cell>
          <cell r="T558">
            <v>0</v>
          </cell>
        </row>
        <row r="559">
          <cell r="S559" t="str">
            <v xml:space="preserve"> - </v>
          </cell>
          <cell r="T559">
            <v>0</v>
          </cell>
        </row>
        <row r="560">
          <cell r="S560" t="str">
            <v xml:space="preserve"> - </v>
          </cell>
          <cell r="T560">
            <v>0</v>
          </cell>
        </row>
        <row r="561">
          <cell r="S561" t="str">
            <v xml:space="preserve"> - </v>
          </cell>
          <cell r="T561">
            <v>0</v>
          </cell>
        </row>
        <row r="562">
          <cell r="S562" t="str">
            <v xml:space="preserve"> - </v>
          </cell>
          <cell r="T562">
            <v>0</v>
          </cell>
        </row>
        <row r="563">
          <cell r="S563" t="str">
            <v xml:space="preserve"> - </v>
          </cell>
          <cell r="T563">
            <v>0</v>
          </cell>
        </row>
        <row r="564">
          <cell r="S564" t="str">
            <v xml:space="preserve"> - </v>
          </cell>
          <cell r="T564">
            <v>0</v>
          </cell>
        </row>
        <row r="565">
          <cell r="S565" t="str">
            <v xml:space="preserve"> - </v>
          </cell>
          <cell r="T565">
            <v>0</v>
          </cell>
        </row>
        <row r="566">
          <cell r="S566" t="str">
            <v xml:space="preserve"> - </v>
          </cell>
          <cell r="T566">
            <v>0</v>
          </cell>
        </row>
        <row r="567">
          <cell r="S567" t="str">
            <v xml:space="preserve"> - </v>
          </cell>
          <cell r="T567">
            <v>0</v>
          </cell>
        </row>
        <row r="568">
          <cell r="S568" t="str">
            <v xml:space="preserve"> - </v>
          </cell>
          <cell r="T568">
            <v>0</v>
          </cell>
        </row>
        <row r="569">
          <cell r="S569" t="str">
            <v xml:space="preserve"> - </v>
          </cell>
          <cell r="T569">
            <v>0</v>
          </cell>
        </row>
        <row r="570">
          <cell r="S570" t="str">
            <v xml:space="preserve"> - </v>
          </cell>
          <cell r="T570">
            <v>0</v>
          </cell>
        </row>
        <row r="571">
          <cell r="S571" t="str">
            <v xml:space="preserve"> - </v>
          </cell>
          <cell r="T571">
            <v>0</v>
          </cell>
        </row>
        <row r="572">
          <cell r="S572" t="str">
            <v xml:space="preserve"> - </v>
          </cell>
          <cell r="T572">
            <v>0</v>
          </cell>
        </row>
        <row r="573">
          <cell r="S573" t="str">
            <v xml:space="preserve"> - </v>
          </cell>
          <cell r="T573">
            <v>0</v>
          </cell>
        </row>
        <row r="574">
          <cell r="S574" t="str">
            <v xml:space="preserve"> - </v>
          </cell>
          <cell r="T574">
            <v>0</v>
          </cell>
        </row>
        <row r="575">
          <cell r="S575" t="str">
            <v xml:space="preserve"> - </v>
          </cell>
          <cell r="T575">
            <v>0</v>
          </cell>
        </row>
        <row r="576">
          <cell r="S576" t="str">
            <v xml:space="preserve"> - </v>
          </cell>
          <cell r="T576">
            <v>0</v>
          </cell>
        </row>
        <row r="577">
          <cell r="S577" t="str">
            <v xml:space="preserve"> - </v>
          </cell>
          <cell r="T577">
            <v>0</v>
          </cell>
        </row>
        <row r="578">
          <cell r="S578" t="str">
            <v xml:space="preserve"> - </v>
          </cell>
          <cell r="T578">
            <v>0</v>
          </cell>
        </row>
        <row r="579">
          <cell r="S579" t="str">
            <v xml:space="preserve"> - </v>
          </cell>
          <cell r="T579">
            <v>0</v>
          </cell>
        </row>
        <row r="580">
          <cell r="S580" t="str">
            <v xml:space="preserve"> - </v>
          </cell>
          <cell r="T580">
            <v>0</v>
          </cell>
        </row>
        <row r="581">
          <cell r="S581" t="str">
            <v xml:space="preserve"> - </v>
          </cell>
          <cell r="T581">
            <v>0</v>
          </cell>
        </row>
        <row r="582">
          <cell r="S582" t="str">
            <v xml:space="preserve"> - </v>
          </cell>
          <cell r="T582">
            <v>0</v>
          </cell>
        </row>
        <row r="583">
          <cell r="S583" t="str">
            <v xml:space="preserve"> - </v>
          </cell>
          <cell r="T583">
            <v>0</v>
          </cell>
        </row>
        <row r="584">
          <cell r="S584" t="str">
            <v xml:space="preserve"> - </v>
          </cell>
          <cell r="T584">
            <v>0</v>
          </cell>
        </row>
        <row r="585">
          <cell r="S585" t="str">
            <v xml:space="preserve"> - </v>
          </cell>
          <cell r="T585">
            <v>0</v>
          </cell>
        </row>
        <row r="586">
          <cell r="S586" t="str">
            <v xml:space="preserve"> - </v>
          </cell>
          <cell r="T586">
            <v>0</v>
          </cell>
        </row>
        <row r="587">
          <cell r="S587" t="str">
            <v xml:space="preserve"> - </v>
          </cell>
          <cell r="T587">
            <v>0</v>
          </cell>
        </row>
        <row r="588">
          <cell r="S588" t="str">
            <v xml:space="preserve"> - </v>
          </cell>
          <cell r="T588">
            <v>0</v>
          </cell>
        </row>
        <row r="589">
          <cell r="S589" t="str">
            <v xml:space="preserve"> - </v>
          </cell>
          <cell r="T589">
            <v>0</v>
          </cell>
        </row>
        <row r="590">
          <cell r="S590" t="str">
            <v xml:space="preserve"> - </v>
          </cell>
          <cell r="T590">
            <v>0</v>
          </cell>
        </row>
        <row r="591">
          <cell r="S591" t="str">
            <v xml:space="preserve"> - </v>
          </cell>
          <cell r="T591">
            <v>0</v>
          </cell>
        </row>
        <row r="592">
          <cell r="S592" t="str">
            <v xml:space="preserve"> - </v>
          </cell>
          <cell r="T592">
            <v>0</v>
          </cell>
        </row>
        <row r="593">
          <cell r="S593" t="str">
            <v xml:space="preserve"> - </v>
          </cell>
          <cell r="T593">
            <v>0</v>
          </cell>
        </row>
        <row r="594">
          <cell r="S594" t="str">
            <v xml:space="preserve"> - </v>
          </cell>
          <cell r="T594">
            <v>0</v>
          </cell>
        </row>
        <row r="595">
          <cell r="S595" t="str">
            <v xml:space="preserve"> - </v>
          </cell>
          <cell r="T595">
            <v>0</v>
          </cell>
        </row>
        <row r="596">
          <cell r="S596" t="str">
            <v xml:space="preserve"> - </v>
          </cell>
          <cell r="T596">
            <v>0</v>
          </cell>
        </row>
        <row r="597">
          <cell r="S597" t="str">
            <v xml:space="preserve"> - </v>
          </cell>
          <cell r="T597">
            <v>0</v>
          </cell>
        </row>
        <row r="598">
          <cell r="S598" t="str">
            <v xml:space="preserve"> - </v>
          </cell>
          <cell r="T598">
            <v>0</v>
          </cell>
        </row>
        <row r="599">
          <cell r="S599" t="str">
            <v xml:space="preserve"> - </v>
          </cell>
          <cell r="T599">
            <v>0</v>
          </cell>
        </row>
        <row r="600">
          <cell r="S600" t="str">
            <v xml:space="preserve"> - </v>
          </cell>
          <cell r="T600">
            <v>0</v>
          </cell>
        </row>
        <row r="601">
          <cell r="S601" t="str">
            <v xml:space="preserve"> - </v>
          </cell>
          <cell r="T601">
            <v>0</v>
          </cell>
        </row>
        <row r="602">
          <cell r="S602" t="str">
            <v xml:space="preserve"> - </v>
          </cell>
          <cell r="T602">
            <v>0</v>
          </cell>
        </row>
        <row r="603">
          <cell r="S603" t="str">
            <v xml:space="preserve"> - </v>
          </cell>
          <cell r="T603">
            <v>0</v>
          </cell>
        </row>
        <row r="604">
          <cell r="S604" t="str">
            <v xml:space="preserve"> - </v>
          </cell>
          <cell r="T604">
            <v>0</v>
          </cell>
        </row>
        <row r="605">
          <cell r="S605" t="str">
            <v xml:space="preserve"> - </v>
          </cell>
          <cell r="T605">
            <v>0</v>
          </cell>
        </row>
        <row r="606">
          <cell r="S606" t="str">
            <v xml:space="preserve"> - </v>
          </cell>
          <cell r="T606">
            <v>0</v>
          </cell>
        </row>
        <row r="607">
          <cell r="S607" t="str">
            <v xml:space="preserve"> - </v>
          </cell>
          <cell r="T607">
            <v>0</v>
          </cell>
        </row>
        <row r="608">
          <cell r="S608" t="str">
            <v xml:space="preserve"> - </v>
          </cell>
          <cell r="T608">
            <v>0</v>
          </cell>
        </row>
        <row r="609">
          <cell r="S609" t="str">
            <v xml:space="preserve"> - </v>
          </cell>
          <cell r="T609">
            <v>0</v>
          </cell>
        </row>
        <row r="610">
          <cell r="S610" t="str">
            <v xml:space="preserve"> - </v>
          </cell>
          <cell r="T610">
            <v>0</v>
          </cell>
        </row>
        <row r="611">
          <cell r="S611" t="str">
            <v xml:space="preserve"> - </v>
          </cell>
          <cell r="T611">
            <v>0</v>
          </cell>
        </row>
        <row r="612">
          <cell r="S612" t="str">
            <v xml:space="preserve"> - </v>
          </cell>
          <cell r="T612">
            <v>0</v>
          </cell>
        </row>
        <row r="613">
          <cell r="S613" t="str">
            <v xml:space="preserve"> - </v>
          </cell>
          <cell r="T613">
            <v>0</v>
          </cell>
        </row>
        <row r="614">
          <cell r="S614" t="str">
            <v xml:space="preserve"> - </v>
          </cell>
          <cell r="T614">
            <v>0</v>
          </cell>
        </row>
        <row r="615">
          <cell r="S615" t="str">
            <v xml:space="preserve"> - </v>
          </cell>
          <cell r="T615">
            <v>0</v>
          </cell>
        </row>
        <row r="616">
          <cell r="S616" t="str">
            <v xml:space="preserve"> - </v>
          </cell>
          <cell r="T616">
            <v>0</v>
          </cell>
        </row>
        <row r="617">
          <cell r="S617" t="str">
            <v xml:space="preserve"> - </v>
          </cell>
          <cell r="T617">
            <v>0</v>
          </cell>
        </row>
        <row r="618">
          <cell r="S618" t="str">
            <v xml:space="preserve"> - </v>
          </cell>
          <cell r="T618">
            <v>0</v>
          </cell>
        </row>
        <row r="619">
          <cell r="S619" t="str">
            <v xml:space="preserve"> - </v>
          </cell>
          <cell r="T619">
            <v>0</v>
          </cell>
        </row>
        <row r="620">
          <cell r="S620" t="str">
            <v xml:space="preserve"> - </v>
          </cell>
          <cell r="T620">
            <v>0</v>
          </cell>
        </row>
        <row r="621">
          <cell r="S621" t="str">
            <v xml:space="preserve"> - </v>
          </cell>
          <cell r="T621">
            <v>0</v>
          </cell>
        </row>
        <row r="622">
          <cell r="S622" t="str">
            <v xml:space="preserve"> - </v>
          </cell>
          <cell r="T622">
            <v>0</v>
          </cell>
        </row>
        <row r="623">
          <cell r="S623" t="str">
            <v xml:space="preserve"> - </v>
          </cell>
          <cell r="T623">
            <v>0</v>
          </cell>
        </row>
        <row r="624">
          <cell r="S624" t="str">
            <v xml:space="preserve"> - </v>
          </cell>
          <cell r="T624">
            <v>0</v>
          </cell>
        </row>
        <row r="625">
          <cell r="S625" t="str">
            <v xml:space="preserve"> - </v>
          </cell>
          <cell r="T625">
            <v>0</v>
          </cell>
        </row>
        <row r="626">
          <cell r="S626" t="str">
            <v xml:space="preserve"> - </v>
          </cell>
          <cell r="T626">
            <v>0</v>
          </cell>
        </row>
        <row r="627">
          <cell r="S627" t="str">
            <v xml:space="preserve"> - </v>
          </cell>
          <cell r="T627">
            <v>0</v>
          </cell>
        </row>
        <row r="628">
          <cell r="S628" t="str">
            <v xml:space="preserve"> - </v>
          </cell>
          <cell r="T628">
            <v>0</v>
          </cell>
        </row>
        <row r="629">
          <cell r="S629" t="str">
            <v xml:space="preserve"> - </v>
          </cell>
          <cell r="T629">
            <v>0</v>
          </cell>
        </row>
        <row r="630">
          <cell r="S630" t="str">
            <v xml:space="preserve"> - </v>
          </cell>
          <cell r="T630">
            <v>0</v>
          </cell>
        </row>
        <row r="631">
          <cell r="S631" t="str">
            <v xml:space="preserve"> - </v>
          </cell>
          <cell r="T631">
            <v>0</v>
          </cell>
        </row>
        <row r="632">
          <cell r="S632" t="str">
            <v xml:space="preserve"> - </v>
          </cell>
          <cell r="T632">
            <v>0</v>
          </cell>
        </row>
        <row r="633">
          <cell r="S633" t="str">
            <v xml:space="preserve"> - </v>
          </cell>
          <cell r="T633">
            <v>0</v>
          </cell>
        </row>
        <row r="634">
          <cell r="S634" t="str">
            <v xml:space="preserve"> - </v>
          </cell>
          <cell r="T634">
            <v>0</v>
          </cell>
        </row>
        <row r="635">
          <cell r="S635" t="str">
            <v xml:space="preserve"> - </v>
          </cell>
          <cell r="T635">
            <v>0</v>
          </cell>
        </row>
        <row r="636">
          <cell r="S636" t="str">
            <v xml:space="preserve"> - </v>
          </cell>
          <cell r="T636">
            <v>0</v>
          </cell>
        </row>
        <row r="637">
          <cell r="S637" t="str">
            <v xml:space="preserve"> - </v>
          </cell>
          <cell r="T637">
            <v>0</v>
          </cell>
        </row>
        <row r="638">
          <cell r="S638" t="str">
            <v xml:space="preserve"> - </v>
          </cell>
          <cell r="T638">
            <v>0</v>
          </cell>
        </row>
        <row r="639">
          <cell r="S639" t="str">
            <v xml:space="preserve"> - </v>
          </cell>
          <cell r="T639">
            <v>0</v>
          </cell>
        </row>
        <row r="640">
          <cell r="S640" t="str">
            <v xml:space="preserve"> - </v>
          </cell>
          <cell r="T640">
            <v>0</v>
          </cell>
        </row>
        <row r="641">
          <cell r="S641" t="str">
            <v xml:space="preserve"> - </v>
          </cell>
          <cell r="T641">
            <v>0</v>
          </cell>
        </row>
        <row r="642">
          <cell r="S642" t="str">
            <v xml:space="preserve"> - </v>
          </cell>
          <cell r="T642">
            <v>0</v>
          </cell>
        </row>
        <row r="643">
          <cell r="S643" t="str">
            <v xml:space="preserve"> - </v>
          </cell>
          <cell r="T643">
            <v>0</v>
          </cell>
        </row>
        <row r="644">
          <cell r="S644" t="str">
            <v xml:space="preserve"> - </v>
          </cell>
          <cell r="T644">
            <v>0</v>
          </cell>
        </row>
        <row r="645">
          <cell r="S645" t="str">
            <v xml:space="preserve"> - </v>
          </cell>
          <cell r="T645">
            <v>0</v>
          </cell>
        </row>
        <row r="646">
          <cell r="S646" t="str">
            <v xml:space="preserve"> - </v>
          </cell>
          <cell r="T646">
            <v>0</v>
          </cell>
        </row>
        <row r="647">
          <cell r="S647" t="str">
            <v xml:space="preserve"> - </v>
          </cell>
          <cell r="T647">
            <v>0</v>
          </cell>
        </row>
        <row r="648">
          <cell r="S648" t="str">
            <v xml:space="preserve"> - </v>
          </cell>
          <cell r="T648">
            <v>0</v>
          </cell>
        </row>
        <row r="649">
          <cell r="S649" t="str">
            <v xml:space="preserve"> - </v>
          </cell>
          <cell r="T649">
            <v>0</v>
          </cell>
        </row>
        <row r="650">
          <cell r="S650" t="str">
            <v xml:space="preserve"> - </v>
          </cell>
          <cell r="T650">
            <v>0</v>
          </cell>
        </row>
        <row r="651">
          <cell r="S651" t="str">
            <v xml:space="preserve"> - </v>
          </cell>
          <cell r="T651">
            <v>0</v>
          </cell>
        </row>
        <row r="652">
          <cell r="S652" t="str">
            <v xml:space="preserve"> - </v>
          </cell>
          <cell r="T652">
            <v>0</v>
          </cell>
        </row>
        <row r="653">
          <cell r="S653" t="str">
            <v xml:space="preserve"> - </v>
          </cell>
          <cell r="T653">
            <v>0</v>
          </cell>
        </row>
        <row r="654">
          <cell r="S654" t="str">
            <v xml:space="preserve"> - </v>
          </cell>
          <cell r="T654">
            <v>0</v>
          </cell>
        </row>
        <row r="655">
          <cell r="S655" t="str">
            <v xml:space="preserve"> - </v>
          </cell>
          <cell r="T655">
            <v>0</v>
          </cell>
        </row>
        <row r="656">
          <cell r="S656" t="str">
            <v xml:space="preserve"> - </v>
          </cell>
          <cell r="T656">
            <v>0</v>
          </cell>
        </row>
        <row r="657">
          <cell r="S657" t="str">
            <v xml:space="preserve"> - </v>
          </cell>
          <cell r="T657">
            <v>0</v>
          </cell>
        </row>
        <row r="658">
          <cell r="S658" t="str">
            <v xml:space="preserve"> - </v>
          </cell>
          <cell r="T658">
            <v>0</v>
          </cell>
        </row>
        <row r="659">
          <cell r="S659" t="str">
            <v xml:space="preserve"> - </v>
          </cell>
          <cell r="T659">
            <v>0</v>
          </cell>
        </row>
        <row r="660">
          <cell r="S660" t="str">
            <v xml:space="preserve"> - </v>
          </cell>
          <cell r="T660">
            <v>0</v>
          </cell>
        </row>
        <row r="661">
          <cell r="S661" t="str">
            <v xml:space="preserve"> - </v>
          </cell>
          <cell r="T661">
            <v>0</v>
          </cell>
        </row>
        <row r="662">
          <cell r="S662" t="str">
            <v xml:space="preserve"> - </v>
          </cell>
          <cell r="T662">
            <v>0</v>
          </cell>
        </row>
        <row r="663">
          <cell r="S663" t="str">
            <v xml:space="preserve"> - </v>
          </cell>
          <cell r="T663">
            <v>0</v>
          </cell>
        </row>
        <row r="664">
          <cell r="S664" t="str">
            <v xml:space="preserve"> - </v>
          </cell>
          <cell r="T664">
            <v>0</v>
          </cell>
        </row>
        <row r="665">
          <cell r="S665" t="str">
            <v xml:space="preserve"> - </v>
          </cell>
          <cell r="T665">
            <v>0</v>
          </cell>
        </row>
        <row r="666">
          <cell r="S666" t="str">
            <v xml:space="preserve"> - </v>
          </cell>
          <cell r="T666">
            <v>0</v>
          </cell>
        </row>
        <row r="667">
          <cell r="S667" t="str">
            <v xml:space="preserve"> - </v>
          </cell>
          <cell r="T667">
            <v>0</v>
          </cell>
        </row>
        <row r="668">
          <cell r="S668" t="str">
            <v xml:space="preserve"> - </v>
          </cell>
          <cell r="T668">
            <v>0</v>
          </cell>
        </row>
        <row r="669">
          <cell r="S669" t="str">
            <v xml:space="preserve"> - </v>
          </cell>
          <cell r="T669">
            <v>0</v>
          </cell>
        </row>
        <row r="670">
          <cell r="S670" t="str">
            <v xml:space="preserve"> - </v>
          </cell>
          <cell r="T670">
            <v>0</v>
          </cell>
        </row>
        <row r="671">
          <cell r="S671" t="str">
            <v xml:space="preserve"> - </v>
          </cell>
          <cell r="T671">
            <v>0</v>
          </cell>
        </row>
        <row r="672">
          <cell r="S672" t="str">
            <v xml:space="preserve"> - </v>
          </cell>
          <cell r="T672">
            <v>0</v>
          </cell>
        </row>
        <row r="673">
          <cell r="S673" t="str">
            <v xml:space="preserve"> - </v>
          </cell>
          <cell r="T673">
            <v>0</v>
          </cell>
        </row>
        <row r="674">
          <cell r="S674" t="str">
            <v xml:space="preserve"> - </v>
          </cell>
          <cell r="T674">
            <v>0</v>
          </cell>
        </row>
        <row r="675">
          <cell r="S675" t="str">
            <v xml:space="preserve"> - </v>
          </cell>
          <cell r="T675">
            <v>0</v>
          </cell>
        </row>
        <row r="676">
          <cell r="S676" t="str">
            <v xml:space="preserve"> - </v>
          </cell>
          <cell r="T676">
            <v>0</v>
          </cell>
        </row>
        <row r="677">
          <cell r="S677" t="str">
            <v xml:space="preserve"> - </v>
          </cell>
          <cell r="T677">
            <v>0</v>
          </cell>
        </row>
        <row r="678">
          <cell r="S678" t="str">
            <v xml:space="preserve"> - </v>
          </cell>
          <cell r="T678">
            <v>0</v>
          </cell>
        </row>
        <row r="679">
          <cell r="S679" t="str">
            <v xml:space="preserve"> - </v>
          </cell>
          <cell r="T679">
            <v>0</v>
          </cell>
        </row>
        <row r="680">
          <cell r="S680" t="str">
            <v xml:space="preserve"> - </v>
          </cell>
          <cell r="T680">
            <v>0</v>
          </cell>
        </row>
        <row r="681">
          <cell r="S681" t="str">
            <v xml:space="preserve"> - </v>
          </cell>
          <cell r="T681">
            <v>0</v>
          </cell>
        </row>
        <row r="682">
          <cell r="S682" t="str">
            <v xml:space="preserve"> - </v>
          </cell>
          <cell r="T682">
            <v>0</v>
          </cell>
        </row>
        <row r="683">
          <cell r="S683" t="str">
            <v xml:space="preserve"> - </v>
          </cell>
          <cell r="T683">
            <v>0</v>
          </cell>
        </row>
        <row r="684">
          <cell r="S684" t="str">
            <v xml:space="preserve"> - </v>
          </cell>
          <cell r="T684">
            <v>0</v>
          </cell>
        </row>
        <row r="685">
          <cell r="S685" t="str">
            <v xml:space="preserve"> - </v>
          </cell>
          <cell r="T685">
            <v>0</v>
          </cell>
        </row>
        <row r="686">
          <cell r="S686" t="str">
            <v xml:space="preserve"> - </v>
          </cell>
          <cell r="T686">
            <v>0</v>
          </cell>
        </row>
        <row r="687">
          <cell r="S687" t="str">
            <v xml:space="preserve"> - </v>
          </cell>
          <cell r="T687">
            <v>0</v>
          </cell>
        </row>
        <row r="688">
          <cell r="S688" t="str">
            <v xml:space="preserve"> - </v>
          </cell>
          <cell r="T688">
            <v>0</v>
          </cell>
        </row>
        <row r="689">
          <cell r="S689" t="str">
            <v xml:space="preserve"> - </v>
          </cell>
          <cell r="T689">
            <v>0</v>
          </cell>
        </row>
        <row r="690">
          <cell r="S690" t="str">
            <v xml:space="preserve"> - </v>
          </cell>
          <cell r="T690">
            <v>0</v>
          </cell>
        </row>
        <row r="691">
          <cell r="S691" t="str">
            <v xml:space="preserve"> - </v>
          </cell>
          <cell r="T691">
            <v>0</v>
          </cell>
        </row>
        <row r="692">
          <cell r="S692" t="str">
            <v xml:space="preserve"> - </v>
          </cell>
          <cell r="T692">
            <v>0</v>
          </cell>
        </row>
        <row r="693">
          <cell r="S693" t="str">
            <v xml:space="preserve"> - </v>
          </cell>
          <cell r="T693">
            <v>0</v>
          </cell>
        </row>
        <row r="694">
          <cell r="S694" t="str">
            <v xml:space="preserve"> - </v>
          </cell>
          <cell r="T694">
            <v>0</v>
          </cell>
        </row>
        <row r="695">
          <cell r="S695" t="str">
            <v xml:space="preserve"> - </v>
          </cell>
          <cell r="T695">
            <v>0</v>
          </cell>
        </row>
        <row r="696">
          <cell r="S696" t="str">
            <v xml:space="preserve"> - </v>
          </cell>
          <cell r="T696">
            <v>0</v>
          </cell>
        </row>
        <row r="697">
          <cell r="S697" t="str">
            <v xml:space="preserve"> - </v>
          </cell>
          <cell r="T697">
            <v>0</v>
          </cell>
        </row>
        <row r="698">
          <cell r="S698" t="str">
            <v xml:space="preserve"> - </v>
          </cell>
          <cell r="T698">
            <v>0</v>
          </cell>
        </row>
        <row r="699">
          <cell r="S699" t="str">
            <v xml:space="preserve"> - </v>
          </cell>
          <cell r="T699">
            <v>0</v>
          </cell>
        </row>
        <row r="700">
          <cell r="S700" t="str">
            <v xml:space="preserve"> - </v>
          </cell>
          <cell r="T700">
            <v>0</v>
          </cell>
        </row>
        <row r="701">
          <cell r="S701" t="str">
            <v xml:space="preserve"> - </v>
          </cell>
          <cell r="T701">
            <v>0</v>
          </cell>
        </row>
        <row r="702">
          <cell r="S702" t="str">
            <v xml:space="preserve"> - </v>
          </cell>
          <cell r="T702">
            <v>0</v>
          </cell>
        </row>
        <row r="703">
          <cell r="S703" t="str">
            <v xml:space="preserve"> - </v>
          </cell>
          <cell r="T703">
            <v>0</v>
          </cell>
        </row>
        <row r="704">
          <cell r="S704" t="str">
            <v xml:space="preserve"> - </v>
          </cell>
          <cell r="T704">
            <v>0</v>
          </cell>
        </row>
        <row r="705">
          <cell r="S705" t="str">
            <v xml:space="preserve"> - </v>
          </cell>
          <cell r="T705">
            <v>0</v>
          </cell>
        </row>
        <row r="706">
          <cell r="S706" t="str">
            <v xml:space="preserve"> - </v>
          </cell>
          <cell r="T706">
            <v>0</v>
          </cell>
        </row>
        <row r="707">
          <cell r="S707" t="str">
            <v xml:space="preserve"> - </v>
          </cell>
          <cell r="T707">
            <v>0</v>
          </cell>
        </row>
        <row r="708">
          <cell r="S708" t="str">
            <v xml:space="preserve"> - </v>
          </cell>
          <cell r="T708">
            <v>0</v>
          </cell>
        </row>
        <row r="709">
          <cell r="S709" t="str">
            <v xml:space="preserve"> - </v>
          </cell>
          <cell r="T709">
            <v>0</v>
          </cell>
        </row>
        <row r="710">
          <cell r="S710" t="str">
            <v xml:space="preserve"> - </v>
          </cell>
          <cell r="T710">
            <v>0</v>
          </cell>
        </row>
        <row r="711">
          <cell r="S711" t="str">
            <v xml:space="preserve"> - </v>
          </cell>
          <cell r="T711">
            <v>0</v>
          </cell>
        </row>
        <row r="712">
          <cell r="S712" t="str">
            <v xml:space="preserve"> - </v>
          </cell>
          <cell r="T712">
            <v>0</v>
          </cell>
        </row>
        <row r="713">
          <cell r="S713" t="str">
            <v xml:space="preserve"> - </v>
          </cell>
          <cell r="T713">
            <v>0</v>
          </cell>
        </row>
        <row r="714">
          <cell r="S714" t="str">
            <v xml:space="preserve"> - </v>
          </cell>
          <cell r="T714">
            <v>0</v>
          </cell>
        </row>
        <row r="715">
          <cell r="S715" t="str">
            <v xml:space="preserve"> - </v>
          </cell>
          <cell r="T715">
            <v>0</v>
          </cell>
        </row>
        <row r="716">
          <cell r="S716" t="str">
            <v xml:space="preserve"> - </v>
          </cell>
          <cell r="T716">
            <v>0</v>
          </cell>
        </row>
        <row r="717">
          <cell r="S717" t="str">
            <v xml:space="preserve"> - </v>
          </cell>
          <cell r="T717">
            <v>0</v>
          </cell>
        </row>
        <row r="718">
          <cell r="S718" t="str">
            <v xml:space="preserve"> - </v>
          </cell>
          <cell r="T718">
            <v>0</v>
          </cell>
        </row>
        <row r="719">
          <cell r="S719" t="str">
            <v xml:space="preserve"> - </v>
          </cell>
          <cell r="T719">
            <v>0</v>
          </cell>
        </row>
        <row r="720">
          <cell r="S720" t="str">
            <v xml:space="preserve"> - </v>
          </cell>
          <cell r="T720">
            <v>0</v>
          </cell>
        </row>
        <row r="721">
          <cell r="S721" t="str">
            <v xml:space="preserve"> - </v>
          </cell>
          <cell r="T721">
            <v>0</v>
          </cell>
        </row>
        <row r="722">
          <cell r="S722" t="str">
            <v xml:space="preserve"> - </v>
          </cell>
          <cell r="T722">
            <v>0</v>
          </cell>
        </row>
        <row r="723">
          <cell r="S723" t="str">
            <v xml:space="preserve"> - </v>
          </cell>
          <cell r="T723">
            <v>0</v>
          </cell>
        </row>
        <row r="724">
          <cell r="S724" t="str">
            <v xml:space="preserve"> - </v>
          </cell>
          <cell r="T724">
            <v>0</v>
          </cell>
        </row>
        <row r="725">
          <cell r="S725" t="str">
            <v xml:space="preserve"> - </v>
          </cell>
          <cell r="T725">
            <v>0</v>
          </cell>
        </row>
        <row r="726">
          <cell r="S726" t="str">
            <v xml:space="preserve"> - </v>
          </cell>
          <cell r="T726">
            <v>0</v>
          </cell>
        </row>
        <row r="727">
          <cell r="S727" t="str">
            <v xml:space="preserve"> - </v>
          </cell>
          <cell r="T727">
            <v>0</v>
          </cell>
        </row>
        <row r="728">
          <cell r="S728" t="str">
            <v xml:space="preserve"> - </v>
          </cell>
          <cell r="T728">
            <v>0</v>
          </cell>
        </row>
        <row r="729">
          <cell r="S729" t="str">
            <v xml:space="preserve"> - </v>
          </cell>
          <cell r="T729">
            <v>0</v>
          </cell>
        </row>
        <row r="730">
          <cell r="S730" t="str">
            <v xml:space="preserve"> - </v>
          </cell>
          <cell r="T730">
            <v>0</v>
          </cell>
        </row>
        <row r="731">
          <cell r="S731" t="str">
            <v xml:space="preserve"> - </v>
          </cell>
          <cell r="T731">
            <v>0</v>
          </cell>
        </row>
        <row r="732">
          <cell r="S732" t="str">
            <v xml:space="preserve"> - </v>
          </cell>
          <cell r="T732">
            <v>0</v>
          </cell>
        </row>
        <row r="733">
          <cell r="S733" t="str">
            <v xml:space="preserve"> - </v>
          </cell>
          <cell r="T733">
            <v>0</v>
          </cell>
        </row>
        <row r="734">
          <cell r="S734" t="str">
            <v xml:space="preserve"> - </v>
          </cell>
          <cell r="T734">
            <v>0</v>
          </cell>
        </row>
        <row r="735">
          <cell r="S735" t="str">
            <v xml:space="preserve"> - </v>
          </cell>
          <cell r="T735">
            <v>0</v>
          </cell>
        </row>
        <row r="736">
          <cell r="S736" t="str">
            <v xml:space="preserve"> - </v>
          </cell>
          <cell r="T736">
            <v>0</v>
          </cell>
        </row>
        <row r="737">
          <cell r="S737" t="str">
            <v xml:space="preserve"> - </v>
          </cell>
          <cell r="T737">
            <v>0</v>
          </cell>
        </row>
        <row r="738">
          <cell r="S738" t="str">
            <v xml:space="preserve"> - </v>
          </cell>
          <cell r="T738">
            <v>0</v>
          </cell>
        </row>
        <row r="739">
          <cell r="S739" t="str">
            <v xml:space="preserve"> - </v>
          </cell>
          <cell r="T739">
            <v>0</v>
          </cell>
        </row>
        <row r="740">
          <cell r="S740" t="str">
            <v xml:space="preserve"> - </v>
          </cell>
          <cell r="T740">
            <v>0</v>
          </cell>
        </row>
        <row r="741">
          <cell r="S741" t="str">
            <v xml:space="preserve"> - </v>
          </cell>
          <cell r="T741">
            <v>0</v>
          </cell>
        </row>
        <row r="742">
          <cell r="S742" t="str">
            <v xml:space="preserve"> - </v>
          </cell>
          <cell r="T742">
            <v>0</v>
          </cell>
        </row>
        <row r="743">
          <cell r="S743" t="str">
            <v xml:space="preserve"> - </v>
          </cell>
          <cell r="T743">
            <v>0</v>
          </cell>
        </row>
        <row r="744">
          <cell r="S744" t="str">
            <v xml:space="preserve"> - </v>
          </cell>
          <cell r="T744">
            <v>0</v>
          </cell>
        </row>
        <row r="745">
          <cell r="S745" t="str">
            <v xml:space="preserve"> - </v>
          </cell>
          <cell r="T745">
            <v>0</v>
          </cell>
        </row>
        <row r="746">
          <cell r="S746" t="str">
            <v xml:space="preserve"> - </v>
          </cell>
          <cell r="T746">
            <v>0</v>
          </cell>
        </row>
        <row r="747">
          <cell r="S747" t="str">
            <v xml:space="preserve"> - </v>
          </cell>
          <cell r="T747">
            <v>0</v>
          </cell>
        </row>
        <row r="748">
          <cell r="S748" t="str">
            <v xml:space="preserve"> - </v>
          </cell>
          <cell r="T748">
            <v>0</v>
          </cell>
        </row>
        <row r="749">
          <cell r="S749" t="str">
            <v xml:space="preserve"> - </v>
          </cell>
          <cell r="T749">
            <v>0</v>
          </cell>
        </row>
        <row r="750">
          <cell r="S750" t="str">
            <v xml:space="preserve"> - </v>
          </cell>
          <cell r="T750">
            <v>0</v>
          </cell>
        </row>
        <row r="751">
          <cell r="S751" t="str">
            <v xml:space="preserve"> - </v>
          </cell>
          <cell r="T751">
            <v>0</v>
          </cell>
        </row>
        <row r="752">
          <cell r="S752" t="str">
            <v xml:space="preserve"> - </v>
          </cell>
          <cell r="T752">
            <v>0</v>
          </cell>
        </row>
        <row r="753">
          <cell r="S753" t="str">
            <v xml:space="preserve"> - </v>
          </cell>
          <cell r="T753">
            <v>0</v>
          </cell>
        </row>
        <row r="754">
          <cell r="S754" t="str">
            <v xml:space="preserve"> - </v>
          </cell>
          <cell r="T754">
            <v>0</v>
          </cell>
        </row>
        <row r="755">
          <cell r="S755" t="str">
            <v xml:space="preserve"> - </v>
          </cell>
          <cell r="T755">
            <v>0</v>
          </cell>
        </row>
        <row r="756">
          <cell r="S756" t="str">
            <v xml:space="preserve"> - </v>
          </cell>
          <cell r="T756">
            <v>0</v>
          </cell>
        </row>
        <row r="757">
          <cell r="S757" t="str">
            <v xml:space="preserve"> - </v>
          </cell>
          <cell r="T757">
            <v>0</v>
          </cell>
        </row>
        <row r="758">
          <cell r="S758" t="str">
            <v xml:space="preserve"> - </v>
          </cell>
          <cell r="T758">
            <v>0</v>
          </cell>
        </row>
        <row r="759">
          <cell r="S759" t="str">
            <v xml:space="preserve"> - </v>
          </cell>
          <cell r="T759">
            <v>0</v>
          </cell>
        </row>
        <row r="760">
          <cell r="S760" t="str">
            <v xml:space="preserve"> - </v>
          </cell>
          <cell r="T760">
            <v>0</v>
          </cell>
        </row>
        <row r="761">
          <cell r="S761" t="str">
            <v xml:space="preserve"> - </v>
          </cell>
          <cell r="T761">
            <v>0</v>
          </cell>
        </row>
        <row r="762">
          <cell r="S762" t="str">
            <v xml:space="preserve"> - </v>
          </cell>
          <cell r="T762">
            <v>0</v>
          </cell>
        </row>
        <row r="763">
          <cell r="S763" t="str">
            <v xml:space="preserve"> - </v>
          </cell>
          <cell r="T763">
            <v>0</v>
          </cell>
        </row>
        <row r="764">
          <cell r="S764" t="str">
            <v xml:space="preserve"> - </v>
          </cell>
          <cell r="T764">
            <v>0</v>
          </cell>
        </row>
        <row r="765">
          <cell r="S765" t="str">
            <v xml:space="preserve"> - </v>
          </cell>
          <cell r="T765">
            <v>0</v>
          </cell>
        </row>
        <row r="766">
          <cell r="S766" t="str">
            <v xml:space="preserve"> - </v>
          </cell>
          <cell r="T766">
            <v>0</v>
          </cell>
        </row>
        <row r="767">
          <cell r="S767" t="str">
            <v xml:space="preserve"> - </v>
          </cell>
          <cell r="T767">
            <v>0</v>
          </cell>
        </row>
        <row r="768">
          <cell r="S768" t="str">
            <v xml:space="preserve"> - </v>
          </cell>
          <cell r="T768">
            <v>0</v>
          </cell>
        </row>
        <row r="769">
          <cell r="S769" t="str">
            <v xml:space="preserve"> - </v>
          </cell>
          <cell r="T769">
            <v>0</v>
          </cell>
        </row>
        <row r="770">
          <cell r="S770" t="str">
            <v xml:space="preserve"> - </v>
          </cell>
          <cell r="T770">
            <v>0</v>
          </cell>
        </row>
        <row r="771">
          <cell r="S771" t="str">
            <v xml:space="preserve"> - </v>
          </cell>
          <cell r="T771">
            <v>0</v>
          </cell>
        </row>
        <row r="772">
          <cell r="S772" t="str">
            <v xml:space="preserve"> - </v>
          </cell>
          <cell r="T772">
            <v>0</v>
          </cell>
        </row>
        <row r="773">
          <cell r="S773" t="str">
            <v xml:space="preserve"> - </v>
          </cell>
          <cell r="T773">
            <v>0</v>
          </cell>
        </row>
        <row r="774">
          <cell r="S774" t="str">
            <v xml:space="preserve"> - </v>
          </cell>
          <cell r="T774">
            <v>0</v>
          </cell>
        </row>
        <row r="775">
          <cell r="S775" t="str">
            <v xml:space="preserve"> - </v>
          </cell>
          <cell r="T775">
            <v>0</v>
          </cell>
        </row>
        <row r="776">
          <cell r="S776" t="str">
            <v xml:space="preserve"> - </v>
          </cell>
          <cell r="T776">
            <v>0</v>
          </cell>
        </row>
        <row r="777">
          <cell r="S777" t="str">
            <v xml:space="preserve"> - </v>
          </cell>
          <cell r="T777">
            <v>0</v>
          </cell>
        </row>
        <row r="778">
          <cell r="S778" t="str">
            <v xml:space="preserve"> - </v>
          </cell>
          <cell r="T778">
            <v>0</v>
          </cell>
        </row>
        <row r="779">
          <cell r="S779" t="str">
            <v xml:space="preserve"> - </v>
          </cell>
          <cell r="T779">
            <v>0</v>
          </cell>
        </row>
        <row r="780">
          <cell r="S780" t="str">
            <v xml:space="preserve"> - </v>
          </cell>
          <cell r="T780">
            <v>0</v>
          </cell>
        </row>
        <row r="781">
          <cell r="S781" t="str">
            <v xml:space="preserve"> - </v>
          </cell>
          <cell r="T781">
            <v>0</v>
          </cell>
        </row>
        <row r="782">
          <cell r="S782" t="str">
            <v xml:space="preserve"> - </v>
          </cell>
          <cell r="T782">
            <v>0</v>
          </cell>
        </row>
        <row r="783">
          <cell r="S783" t="str">
            <v xml:space="preserve"> - </v>
          </cell>
          <cell r="T783">
            <v>0</v>
          </cell>
        </row>
        <row r="784">
          <cell r="S784" t="str">
            <v xml:space="preserve"> - </v>
          </cell>
          <cell r="T784">
            <v>0</v>
          </cell>
        </row>
        <row r="785">
          <cell r="S785" t="str">
            <v xml:space="preserve"> - </v>
          </cell>
          <cell r="T785">
            <v>0</v>
          </cell>
        </row>
        <row r="786">
          <cell r="S786" t="str">
            <v xml:space="preserve"> - </v>
          </cell>
          <cell r="T786">
            <v>0</v>
          </cell>
        </row>
        <row r="787">
          <cell r="S787" t="str">
            <v xml:space="preserve"> - </v>
          </cell>
          <cell r="T787">
            <v>0</v>
          </cell>
        </row>
        <row r="788">
          <cell r="S788" t="str">
            <v xml:space="preserve"> - </v>
          </cell>
          <cell r="T788">
            <v>0</v>
          </cell>
        </row>
        <row r="789">
          <cell r="S789" t="str">
            <v xml:space="preserve"> - </v>
          </cell>
          <cell r="T789">
            <v>0</v>
          </cell>
        </row>
        <row r="790">
          <cell r="S790" t="str">
            <v xml:space="preserve"> - </v>
          </cell>
          <cell r="T790">
            <v>0</v>
          </cell>
        </row>
        <row r="791">
          <cell r="S791" t="str">
            <v xml:space="preserve"> - </v>
          </cell>
          <cell r="T791">
            <v>0</v>
          </cell>
        </row>
        <row r="792">
          <cell r="S792" t="str">
            <v xml:space="preserve"> - </v>
          </cell>
          <cell r="T792">
            <v>0</v>
          </cell>
        </row>
        <row r="793">
          <cell r="S793" t="str">
            <v xml:space="preserve"> - </v>
          </cell>
          <cell r="T793">
            <v>0</v>
          </cell>
        </row>
        <row r="794">
          <cell r="S794" t="str">
            <v xml:space="preserve"> - </v>
          </cell>
          <cell r="T794">
            <v>0</v>
          </cell>
        </row>
        <row r="795">
          <cell r="S795" t="str">
            <v xml:space="preserve"> - </v>
          </cell>
          <cell r="T795">
            <v>0</v>
          </cell>
        </row>
        <row r="796">
          <cell r="S796" t="str">
            <v xml:space="preserve"> - </v>
          </cell>
          <cell r="T796">
            <v>0</v>
          </cell>
        </row>
        <row r="797">
          <cell r="S797" t="str">
            <v xml:space="preserve"> - </v>
          </cell>
          <cell r="T797">
            <v>0</v>
          </cell>
        </row>
        <row r="798">
          <cell r="S798" t="str">
            <v xml:space="preserve"> - </v>
          </cell>
          <cell r="T798">
            <v>0</v>
          </cell>
        </row>
        <row r="799">
          <cell r="S799" t="str">
            <v xml:space="preserve"> - </v>
          </cell>
          <cell r="T799">
            <v>0</v>
          </cell>
        </row>
        <row r="800">
          <cell r="S800" t="str">
            <v xml:space="preserve"> - </v>
          </cell>
          <cell r="T800">
            <v>0</v>
          </cell>
        </row>
        <row r="801">
          <cell r="S801" t="str">
            <v xml:space="preserve"> - </v>
          </cell>
          <cell r="T801">
            <v>0</v>
          </cell>
        </row>
        <row r="802">
          <cell r="S802" t="str">
            <v xml:space="preserve"> - </v>
          </cell>
          <cell r="T802">
            <v>0</v>
          </cell>
        </row>
        <row r="803">
          <cell r="S803" t="str">
            <v xml:space="preserve"> - </v>
          </cell>
          <cell r="T803">
            <v>0</v>
          </cell>
        </row>
        <row r="804">
          <cell r="S804" t="str">
            <v xml:space="preserve"> - </v>
          </cell>
          <cell r="T804">
            <v>0</v>
          </cell>
        </row>
        <row r="805">
          <cell r="S805" t="str">
            <v xml:space="preserve"> - </v>
          </cell>
          <cell r="T805">
            <v>0</v>
          </cell>
        </row>
        <row r="806">
          <cell r="S806" t="str">
            <v xml:space="preserve"> - </v>
          </cell>
          <cell r="T806">
            <v>0</v>
          </cell>
        </row>
        <row r="807">
          <cell r="S807" t="str">
            <v xml:space="preserve"> - </v>
          </cell>
          <cell r="T807">
            <v>0</v>
          </cell>
        </row>
        <row r="808">
          <cell r="S808" t="str">
            <v xml:space="preserve"> - </v>
          </cell>
          <cell r="T808">
            <v>0</v>
          </cell>
        </row>
        <row r="809">
          <cell r="S809" t="str">
            <v xml:space="preserve"> - </v>
          </cell>
          <cell r="T809">
            <v>0</v>
          </cell>
        </row>
        <row r="810">
          <cell r="S810" t="str">
            <v xml:space="preserve"> - </v>
          </cell>
          <cell r="T810">
            <v>0</v>
          </cell>
        </row>
        <row r="811">
          <cell r="S811" t="str">
            <v xml:space="preserve"> - </v>
          </cell>
          <cell r="T811">
            <v>0</v>
          </cell>
        </row>
        <row r="812">
          <cell r="S812" t="str">
            <v xml:space="preserve"> - </v>
          </cell>
          <cell r="T812">
            <v>0</v>
          </cell>
        </row>
        <row r="813">
          <cell r="S813" t="str">
            <v xml:space="preserve"> - </v>
          </cell>
          <cell r="T813">
            <v>0</v>
          </cell>
        </row>
        <row r="814">
          <cell r="S814" t="str">
            <v xml:space="preserve"> - </v>
          </cell>
          <cell r="T814">
            <v>0</v>
          </cell>
        </row>
        <row r="815">
          <cell r="S815" t="str">
            <v xml:space="preserve"> - </v>
          </cell>
          <cell r="T815">
            <v>0</v>
          </cell>
        </row>
        <row r="816">
          <cell r="S816" t="str">
            <v xml:space="preserve"> - </v>
          </cell>
          <cell r="T816">
            <v>0</v>
          </cell>
        </row>
        <row r="817">
          <cell r="S817" t="str">
            <v xml:space="preserve"> - </v>
          </cell>
          <cell r="T817">
            <v>0</v>
          </cell>
        </row>
        <row r="818">
          <cell r="S818" t="str">
            <v xml:space="preserve"> - </v>
          </cell>
          <cell r="T818">
            <v>0</v>
          </cell>
        </row>
        <row r="819">
          <cell r="S819" t="str">
            <v xml:space="preserve"> - </v>
          </cell>
          <cell r="T819">
            <v>0</v>
          </cell>
        </row>
        <row r="820">
          <cell r="S820" t="str">
            <v xml:space="preserve"> - </v>
          </cell>
          <cell r="T820">
            <v>0</v>
          </cell>
        </row>
        <row r="821">
          <cell r="S821" t="str">
            <v xml:space="preserve"> - </v>
          </cell>
          <cell r="T821">
            <v>0</v>
          </cell>
        </row>
        <row r="822">
          <cell r="S822" t="str">
            <v xml:space="preserve"> - </v>
          </cell>
          <cell r="T822">
            <v>0</v>
          </cell>
        </row>
        <row r="823">
          <cell r="S823" t="str">
            <v xml:space="preserve"> - </v>
          </cell>
          <cell r="T823">
            <v>0</v>
          </cell>
        </row>
        <row r="824">
          <cell r="S824" t="str">
            <v xml:space="preserve"> - </v>
          </cell>
          <cell r="T824">
            <v>0</v>
          </cell>
        </row>
        <row r="825">
          <cell r="S825" t="str">
            <v xml:space="preserve"> - </v>
          </cell>
          <cell r="T825">
            <v>0</v>
          </cell>
        </row>
        <row r="826">
          <cell r="S826" t="str">
            <v xml:space="preserve"> - </v>
          </cell>
          <cell r="T826">
            <v>0</v>
          </cell>
        </row>
        <row r="827">
          <cell r="S827" t="str">
            <v xml:space="preserve"> - </v>
          </cell>
          <cell r="T827">
            <v>0</v>
          </cell>
        </row>
        <row r="828">
          <cell r="S828" t="str">
            <v xml:space="preserve"> - </v>
          </cell>
          <cell r="T828">
            <v>0</v>
          </cell>
        </row>
        <row r="829">
          <cell r="S829" t="str">
            <v xml:space="preserve"> - </v>
          </cell>
          <cell r="T829">
            <v>0</v>
          </cell>
        </row>
        <row r="830">
          <cell r="S830" t="str">
            <v xml:space="preserve"> - </v>
          </cell>
          <cell r="T830">
            <v>0</v>
          </cell>
        </row>
        <row r="831">
          <cell r="S831" t="str">
            <v xml:space="preserve"> - </v>
          </cell>
          <cell r="T831">
            <v>0</v>
          </cell>
        </row>
        <row r="832">
          <cell r="S832" t="str">
            <v xml:space="preserve"> - </v>
          </cell>
          <cell r="T832">
            <v>0</v>
          </cell>
        </row>
        <row r="833">
          <cell r="S833" t="str">
            <v xml:space="preserve"> - </v>
          </cell>
          <cell r="T833">
            <v>0</v>
          </cell>
        </row>
        <row r="834">
          <cell r="S834" t="str">
            <v xml:space="preserve"> - </v>
          </cell>
          <cell r="T834">
            <v>0</v>
          </cell>
        </row>
        <row r="835">
          <cell r="S835" t="str">
            <v xml:space="preserve"> - </v>
          </cell>
          <cell r="T835">
            <v>0</v>
          </cell>
        </row>
        <row r="836">
          <cell r="S836" t="str">
            <v xml:space="preserve"> - </v>
          </cell>
          <cell r="T836">
            <v>0</v>
          </cell>
        </row>
        <row r="837">
          <cell r="S837" t="str">
            <v xml:space="preserve"> - </v>
          </cell>
          <cell r="T837">
            <v>0</v>
          </cell>
        </row>
        <row r="838">
          <cell r="S838" t="str">
            <v xml:space="preserve"> - </v>
          </cell>
          <cell r="T838">
            <v>0</v>
          </cell>
        </row>
        <row r="839">
          <cell r="S839" t="str">
            <v xml:space="preserve"> - </v>
          </cell>
          <cell r="T839">
            <v>0</v>
          </cell>
        </row>
        <row r="840">
          <cell r="S840" t="str">
            <v xml:space="preserve"> - </v>
          </cell>
          <cell r="T840">
            <v>0</v>
          </cell>
        </row>
        <row r="841">
          <cell r="S841" t="str">
            <v xml:space="preserve"> - </v>
          </cell>
          <cell r="T841">
            <v>0</v>
          </cell>
        </row>
        <row r="842">
          <cell r="S842" t="str">
            <v xml:space="preserve"> - </v>
          </cell>
          <cell r="T842">
            <v>0</v>
          </cell>
        </row>
        <row r="843">
          <cell r="S843" t="str">
            <v xml:space="preserve"> - </v>
          </cell>
          <cell r="T843">
            <v>0</v>
          </cell>
        </row>
        <row r="844">
          <cell r="S844" t="str">
            <v xml:space="preserve"> - </v>
          </cell>
          <cell r="T844">
            <v>0</v>
          </cell>
        </row>
        <row r="845">
          <cell r="S845" t="str">
            <v xml:space="preserve"> - </v>
          </cell>
          <cell r="T845">
            <v>0</v>
          </cell>
        </row>
        <row r="846">
          <cell r="S846" t="str">
            <v xml:space="preserve"> - </v>
          </cell>
          <cell r="T846">
            <v>0</v>
          </cell>
        </row>
        <row r="847">
          <cell r="S847" t="str">
            <v xml:space="preserve"> - </v>
          </cell>
          <cell r="T847">
            <v>0</v>
          </cell>
        </row>
        <row r="848">
          <cell r="S848" t="str">
            <v xml:space="preserve"> - </v>
          </cell>
          <cell r="T848">
            <v>0</v>
          </cell>
        </row>
        <row r="849">
          <cell r="S849" t="str">
            <v xml:space="preserve"> - </v>
          </cell>
          <cell r="T849">
            <v>0</v>
          </cell>
        </row>
        <row r="850">
          <cell r="S850" t="str">
            <v xml:space="preserve"> - </v>
          </cell>
          <cell r="T850">
            <v>0</v>
          </cell>
        </row>
        <row r="851">
          <cell r="S851" t="str">
            <v xml:space="preserve"> - </v>
          </cell>
          <cell r="T851">
            <v>0</v>
          </cell>
        </row>
        <row r="852">
          <cell r="S852" t="str">
            <v xml:space="preserve"> - </v>
          </cell>
          <cell r="T852">
            <v>0</v>
          </cell>
        </row>
        <row r="853">
          <cell r="S853" t="str">
            <v xml:space="preserve"> - </v>
          </cell>
          <cell r="T853">
            <v>0</v>
          </cell>
        </row>
        <row r="854">
          <cell r="S854" t="str">
            <v xml:space="preserve"> - </v>
          </cell>
          <cell r="T854">
            <v>0</v>
          </cell>
        </row>
        <row r="855">
          <cell r="S855" t="str">
            <v xml:space="preserve"> - </v>
          </cell>
          <cell r="T855">
            <v>0</v>
          </cell>
        </row>
        <row r="856">
          <cell r="S856" t="str">
            <v xml:space="preserve"> - </v>
          </cell>
          <cell r="T856">
            <v>0</v>
          </cell>
        </row>
        <row r="857">
          <cell r="S857" t="str">
            <v xml:space="preserve"> - </v>
          </cell>
          <cell r="T857">
            <v>0</v>
          </cell>
        </row>
        <row r="858">
          <cell r="S858" t="str">
            <v xml:space="preserve"> - </v>
          </cell>
          <cell r="T858">
            <v>0</v>
          </cell>
        </row>
        <row r="859">
          <cell r="S859" t="str">
            <v xml:space="preserve"> - </v>
          </cell>
          <cell r="T859">
            <v>0</v>
          </cell>
        </row>
        <row r="860">
          <cell r="S860" t="str">
            <v xml:space="preserve"> - </v>
          </cell>
          <cell r="T860">
            <v>0</v>
          </cell>
        </row>
        <row r="861">
          <cell r="S861" t="str">
            <v xml:space="preserve"> - </v>
          </cell>
          <cell r="T861">
            <v>0</v>
          </cell>
        </row>
        <row r="862">
          <cell r="S862" t="str">
            <v xml:space="preserve"> - </v>
          </cell>
          <cell r="T862">
            <v>0</v>
          </cell>
        </row>
        <row r="863">
          <cell r="S863" t="str">
            <v xml:space="preserve"> - </v>
          </cell>
          <cell r="T863">
            <v>0</v>
          </cell>
        </row>
        <row r="864">
          <cell r="S864" t="str">
            <v xml:space="preserve"> - </v>
          </cell>
          <cell r="T864">
            <v>0</v>
          </cell>
        </row>
        <row r="865">
          <cell r="S865" t="str">
            <v xml:space="preserve"> - </v>
          </cell>
          <cell r="T865">
            <v>0</v>
          </cell>
        </row>
        <row r="866">
          <cell r="S866" t="str">
            <v xml:space="preserve"> - </v>
          </cell>
          <cell r="T866">
            <v>0</v>
          </cell>
        </row>
        <row r="867">
          <cell r="S867" t="str">
            <v xml:space="preserve"> - </v>
          </cell>
          <cell r="T867">
            <v>0</v>
          </cell>
        </row>
        <row r="868">
          <cell r="S868" t="str">
            <v xml:space="preserve"> - </v>
          </cell>
          <cell r="T868">
            <v>0</v>
          </cell>
        </row>
        <row r="869">
          <cell r="S869" t="str">
            <v xml:space="preserve"> - </v>
          </cell>
          <cell r="T869">
            <v>0</v>
          </cell>
        </row>
        <row r="870">
          <cell r="S870" t="str">
            <v xml:space="preserve"> - </v>
          </cell>
          <cell r="T870">
            <v>0</v>
          </cell>
        </row>
        <row r="871">
          <cell r="S871" t="str">
            <v xml:space="preserve"> - </v>
          </cell>
          <cell r="T871">
            <v>0</v>
          </cell>
        </row>
        <row r="872">
          <cell r="S872" t="str">
            <v xml:space="preserve"> - </v>
          </cell>
          <cell r="T872">
            <v>0</v>
          </cell>
        </row>
        <row r="873">
          <cell r="S873" t="str">
            <v xml:space="preserve"> - </v>
          </cell>
          <cell r="T873">
            <v>0</v>
          </cell>
        </row>
        <row r="874">
          <cell r="S874" t="str">
            <v xml:space="preserve"> - </v>
          </cell>
          <cell r="T874">
            <v>0</v>
          </cell>
        </row>
        <row r="875">
          <cell r="S875" t="str">
            <v xml:space="preserve"> - </v>
          </cell>
          <cell r="T875">
            <v>0</v>
          </cell>
        </row>
        <row r="876">
          <cell r="S876" t="str">
            <v xml:space="preserve"> - </v>
          </cell>
          <cell r="T876">
            <v>0</v>
          </cell>
        </row>
        <row r="877">
          <cell r="S877" t="str">
            <v xml:space="preserve"> - </v>
          </cell>
          <cell r="T877">
            <v>0</v>
          </cell>
        </row>
        <row r="878">
          <cell r="S878" t="str">
            <v xml:space="preserve"> - </v>
          </cell>
          <cell r="T878">
            <v>0</v>
          </cell>
        </row>
        <row r="879">
          <cell r="S879" t="str">
            <v xml:space="preserve"> - </v>
          </cell>
          <cell r="T879">
            <v>0</v>
          </cell>
        </row>
        <row r="880">
          <cell r="S880" t="str">
            <v xml:space="preserve"> - </v>
          </cell>
          <cell r="T880">
            <v>0</v>
          </cell>
        </row>
        <row r="881">
          <cell r="S881" t="str">
            <v xml:space="preserve"> - </v>
          </cell>
          <cell r="T881">
            <v>0</v>
          </cell>
        </row>
        <row r="882">
          <cell r="S882" t="str">
            <v xml:space="preserve"> - </v>
          </cell>
          <cell r="T882">
            <v>0</v>
          </cell>
        </row>
        <row r="883">
          <cell r="S883" t="str">
            <v xml:space="preserve"> - </v>
          </cell>
          <cell r="T883">
            <v>0</v>
          </cell>
        </row>
        <row r="884">
          <cell r="S884" t="str">
            <v xml:space="preserve"> - </v>
          </cell>
          <cell r="T884">
            <v>0</v>
          </cell>
        </row>
        <row r="885">
          <cell r="S885" t="str">
            <v xml:space="preserve"> - </v>
          </cell>
          <cell r="T885">
            <v>0</v>
          </cell>
        </row>
        <row r="886">
          <cell r="S886" t="str">
            <v xml:space="preserve"> - </v>
          </cell>
          <cell r="T886">
            <v>0</v>
          </cell>
        </row>
        <row r="887">
          <cell r="S887" t="str">
            <v xml:space="preserve"> - </v>
          </cell>
          <cell r="T887">
            <v>0</v>
          </cell>
        </row>
        <row r="888">
          <cell r="S888" t="str">
            <v xml:space="preserve"> - </v>
          </cell>
          <cell r="T888">
            <v>0</v>
          </cell>
        </row>
        <row r="889">
          <cell r="S889" t="str">
            <v xml:space="preserve"> - </v>
          </cell>
          <cell r="T889">
            <v>0</v>
          </cell>
        </row>
        <row r="890">
          <cell r="S890" t="str">
            <v xml:space="preserve"> - </v>
          </cell>
          <cell r="T890">
            <v>0</v>
          </cell>
        </row>
        <row r="891">
          <cell r="S891" t="str">
            <v xml:space="preserve"> - </v>
          </cell>
          <cell r="T891">
            <v>0</v>
          </cell>
        </row>
        <row r="892">
          <cell r="S892" t="str">
            <v xml:space="preserve"> - </v>
          </cell>
          <cell r="T892">
            <v>0</v>
          </cell>
        </row>
        <row r="893">
          <cell r="S893" t="str">
            <v xml:space="preserve"> - </v>
          </cell>
          <cell r="T893">
            <v>0</v>
          </cell>
        </row>
        <row r="894">
          <cell r="S894" t="str">
            <v xml:space="preserve"> - </v>
          </cell>
          <cell r="T894">
            <v>0</v>
          </cell>
        </row>
        <row r="895">
          <cell r="S895" t="str">
            <v xml:space="preserve"> - </v>
          </cell>
          <cell r="T895">
            <v>0</v>
          </cell>
        </row>
        <row r="896">
          <cell r="S896" t="str">
            <v xml:space="preserve"> - </v>
          </cell>
          <cell r="T896">
            <v>0</v>
          </cell>
        </row>
        <row r="897">
          <cell r="S897" t="str">
            <v xml:space="preserve"> - </v>
          </cell>
          <cell r="T897">
            <v>0</v>
          </cell>
        </row>
        <row r="898">
          <cell r="S898" t="str">
            <v xml:space="preserve"> - </v>
          </cell>
          <cell r="T898">
            <v>0</v>
          </cell>
        </row>
        <row r="899">
          <cell r="S899" t="str">
            <v xml:space="preserve"> - </v>
          </cell>
          <cell r="T899">
            <v>0</v>
          </cell>
        </row>
        <row r="900">
          <cell r="S900" t="str">
            <v xml:space="preserve"> - </v>
          </cell>
          <cell r="T900">
            <v>0</v>
          </cell>
        </row>
        <row r="901">
          <cell r="S901" t="str">
            <v xml:space="preserve"> - </v>
          </cell>
          <cell r="T901">
            <v>0</v>
          </cell>
        </row>
        <row r="902">
          <cell r="S902" t="str">
            <v xml:space="preserve"> - </v>
          </cell>
          <cell r="T902">
            <v>0</v>
          </cell>
        </row>
        <row r="903">
          <cell r="S903" t="str">
            <v xml:space="preserve"> - </v>
          </cell>
          <cell r="T903">
            <v>0</v>
          </cell>
        </row>
        <row r="904">
          <cell r="S904" t="str">
            <v xml:space="preserve"> - </v>
          </cell>
          <cell r="T904">
            <v>0</v>
          </cell>
        </row>
        <row r="905">
          <cell r="S905" t="str">
            <v xml:space="preserve"> - </v>
          </cell>
          <cell r="T905">
            <v>0</v>
          </cell>
        </row>
        <row r="906">
          <cell r="S906" t="str">
            <v xml:space="preserve"> - </v>
          </cell>
          <cell r="T906">
            <v>0</v>
          </cell>
        </row>
        <row r="907">
          <cell r="S907" t="str">
            <v xml:space="preserve"> - </v>
          </cell>
          <cell r="T907">
            <v>0</v>
          </cell>
        </row>
        <row r="908">
          <cell r="S908" t="str">
            <v xml:space="preserve"> - </v>
          </cell>
          <cell r="T908">
            <v>0</v>
          </cell>
        </row>
        <row r="909">
          <cell r="S909" t="str">
            <v xml:space="preserve"> - </v>
          </cell>
          <cell r="T909">
            <v>0</v>
          </cell>
        </row>
        <row r="910">
          <cell r="S910" t="str">
            <v xml:space="preserve"> - </v>
          </cell>
          <cell r="T910">
            <v>0</v>
          </cell>
        </row>
        <row r="911">
          <cell r="S911" t="str">
            <v xml:space="preserve"> - </v>
          </cell>
          <cell r="T911">
            <v>0</v>
          </cell>
        </row>
        <row r="912">
          <cell r="S912" t="str">
            <v xml:space="preserve"> - </v>
          </cell>
          <cell r="T912">
            <v>0</v>
          </cell>
        </row>
        <row r="913">
          <cell r="S913" t="str">
            <v xml:space="preserve"> - </v>
          </cell>
          <cell r="T913">
            <v>0</v>
          </cell>
        </row>
        <row r="914">
          <cell r="S914" t="str">
            <v xml:space="preserve"> - </v>
          </cell>
          <cell r="T914">
            <v>0</v>
          </cell>
        </row>
        <row r="915">
          <cell r="S915" t="str">
            <v xml:space="preserve"> - </v>
          </cell>
          <cell r="T915">
            <v>0</v>
          </cell>
        </row>
        <row r="916">
          <cell r="S916" t="str">
            <v xml:space="preserve"> - </v>
          </cell>
          <cell r="T916">
            <v>0</v>
          </cell>
        </row>
        <row r="917">
          <cell r="S917" t="str">
            <v xml:space="preserve"> - </v>
          </cell>
          <cell r="T917">
            <v>0</v>
          </cell>
        </row>
        <row r="918">
          <cell r="S918" t="str">
            <v xml:space="preserve"> - </v>
          </cell>
          <cell r="T918">
            <v>0</v>
          </cell>
        </row>
        <row r="919">
          <cell r="S919" t="str">
            <v xml:space="preserve"> - </v>
          </cell>
          <cell r="T919">
            <v>0</v>
          </cell>
        </row>
        <row r="920">
          <cell r="S920" t="str">
            <v xml:space="preserve"> - </v>
          </cell>
          <cell r="T920">
            <v>0</v>
          </cell>
        </row>
        <row r="921">
          <cell r="S921" t="str">
            <v xml:space="preserve"> - </v>
          </cell>
          <cell r="T921">
            <v>0</v>
          </cell>
        </row>
        <row r="922">
          <cell r="S922" t="str">
            <v xml:space="preserve"> - </v>
          </cell>
          <cell r="T922">
            <v>0</v>
          </cell>
        </row>
        <row r="923">
          <cell r="S923" t="str">
            <v xml:space="preserve"> - </v>
          </cell>
          <cell r="T923">
            <v>0</v>
          </cell>
        </row>
        <row r="924">
          <cell r="S924" t="str">
            <v xml:space="preserve"> - </v>
          </cell>
          <cell r="T924">
            <v>0</v>
          </cell>
        </row>
        <row r="925">
          <cell r="S925" t="str">
            <v xml:space="preserve"> - </v>
          </cell>
          <cell r="T925">
            <v>0</v>
          </cell>
        </row>
        <row r="926">
          <cell r="S926" t="str">
            <v xml:space="preserve"> - </v>
          </cell>
          <cell r="T926">
            <v>0</v>
          </cell>
        </row>
        <row r="927">
          <cell r="S927" t="str">
            <v xml:space="preserve"> - </v>
          </cell>
          <cell r="T927">
            <v>0</v>
          </cell>
        </row>
        <row r="928">
          <cell r="S928" t="str">
            <v xml:space="preserve"> - </v>
          </cell>
          <cell r="T928">
            <v>0</v>
          </cell>
        </row>
        <row r="929">
          <cell r="S929" t="str">
            <v xml:space="preserve"> - </v>
          </cell>
          <cell r="T929">
            <v>0</v>
          </cell>
        </row>
        <row r="930">
          <cell r="S930" t="str">
            <v xml:space="preserve"> - </v>
          </cell>
          <cell r="T930">
            <v>0</v>
          </cell>
        </row>
        <row r="931">
          <cell r="S931" t="str">
            <v xml:space="preserve"> - </v>
          </cell>
          <cell r="T931">
            <v>0</v>
          </cell>
        </row>
        <row r="932">
          <cell r="S932" t="str">
            <v xml:space="preserve"> - </v>
          </cell>
          <cell r="T932">
            <v>0</v>
          </cell>
        </row>
        <row r="933">
          <cell r="S933" t="str">
            <v xml:space="preserve"> - </v>
          </cell>
          <cell r="T933">
            <v>0</v>
          </cell>
        </row>
        <row r="934">
          <cell r="S934" t="str">
            <v xml:space="preserve"> - </v>
          </cell>
          <cell r="T934">
            <v>0</v>
          </cell>
        </row>
        <row r="935">
          <cell r="S935" t="str">
            <v xml:space="preserve"> - </v>
          </cell>
          <cell r="T935">
            <v>0</v>
          </cell>
        </row>
        <row r="936">
          <cell r="S936" t="str">
            <v xml:space="preserve"> - </v>
          </cell>
          <cell r="T936">
            <v>0</v>
          </cell>
        </row>
        <row r="937">
          <cell r="S937" t="str">
            <v xml:space="preserve"> - </v>
          </cell>
          <cell r="T937">
            <v>0</v>
          </cell>
        </row>
        <row r="938">
          <cell r="S938" t="str">
            <v xml:space="preserve"> - </v>
          </cell>
          <cell r="T938">
            <v>0</v>
          </cell>
        </row>
        <row r="939">
          <cell r="S939" t="str">
            <v xml:space="preserve"> - </v>
          </cell>
          <cell r="T939">
            <v>0</v>
          </cell>
        </row>
        <row r="940">
          <cell r="S940" t="str">
            <v xml:space="preserve"> - </v>
          </cell>
          <cell r="T940">
            <v>0</v>
          </cell>
        </row>
        <row r="941">
          <cell r="S941" t="str">
            <v xml:space="preserve"> - </v>
          </cell>
          <cell r="T941">
            <v>0</v>
          </cell>
        </row>
        <row r="942">
          <cell r="S942" t="str">
            <v xml:space="preserve"> - </v>
          </cell>
          <cell r="T942">
            <v>0</v>
          </cell>
        </row>
        <row r="943">
          <cell r="S943" t="str">
            <v xml:space="preserve"> - </v>
          </cell>
          <cell r="T943">
            <v>0</v>
          </cell>
        </row>
        <row r="944">
          <cell r="S944" t="str">
            <v xml:space="preserve"> - </v>
          </cell>
          <cell r="T944">
            <v>0</v>
          </cell>
        </row>
        <row r="945">
          <cell r="S945" t="str">
            <v xml:space="preserve"> - </v>
          </cell>
          <cell r="T945">
            <v>0</v>
          </cell>
        </row>
        <row r="946">
          <cell r="S946" t="str">
            <v xml:space="preserve"> - </v>
          </cell>
          <cell r="T946">
            <v>0</v>
          </cell>
        </row>
        <row r="947">
          <cell r="S947" t="str">
            <v xml:space="preserve"> - </v>
          </cell>
          <cell r="T947">
            <v>0</v>
          </cell>
        </row>
        <row r="948">
          <cell r="S948" t="str">
            <v xml:space="preserve"> - </v>
          </cell>
          <cell r="T948">
            <v>0</v>
          </cell>
        </row>
        <row r="949">
          <cell r="S949" t="str">
            <v xml:space="preserve"> - </v>
          </cell>
          <cell r="T949">
            <v>0</v>
          </cell>
        </row>
        <row r="950">
          <cell r="S950" t="str">
            <v xml:space="preserve"> - </v>
          </cell>
          <cell r="T950">
            <v>0</v>
          </cell>
        </row>
        <row r="951">
          <cell r="S951" t="str">
            <v xml:space="preserve"> - </v>
          </cell>
          <cell r="T951">
            <v>0</v>
          </cell>
        </row>
        <row r="952">
          <cell r="S952" t="str">
            <v xml:space="preserve"> - </v>
          </cell>
          <cell r="T952">
            <v>0</v>
          </cell>
        </row>
        <row r="953">
          <cell r="S953" t="str">
            <v xml:space="preserve"> - </v>
          </cell>
          <cell r="T953">
            <v>0</v>
          </cell>
        </row>
        <row r="954">
          <cell r="S954" t="str">
            <v xml:space="preserve"> - </v>
          </cell>
          <cell r="T954">
            <v>0</v>
          </cell>
        </row>
        <row r="955">
          <cell r="S955" t="str">
            <v xml:space="preserve"> - </v>
          </cell>
          <cell r="T955">
            <v>0</v>
          </cell>
        </row>
        <row r="956">
          <cell r="S956" t="str">
            <v xml:space="preserve"> - </v>
          </cell>
          <cell r="T956">
            <v>0</v>
          </cell>
        </row>
        <row r="957">
          <cell r="S957" t="str">
            <v xml:space="preserve"> - </v>
          </cell>
          <cell r="T957">
            <v>0</v>
          </cell>
        </row>
        <row r="958">
          <cell r="S958" t="str">
            <v xml:space="preserve"> - </v>
          </cell>
          <cell r="T958">
            <v>0</v>
          </cell>
        </row>
        <row r="959">
          <cell r="S959" t="str">
            <v xml:space="preserve"> - </v>
          </cell>
          <cell r="T959">
            <v>0</v>
          </cell>
        </row>
        <row r="960">
          <cell r="S960" t="str">
            <v xml:space="preserve"> - </v>
          </cell>
          <cell r="T960">
            <v>0</v>
          </cell>
        </row>
        <row r="961">
          <cell r="S961" t="str">
            <v xml:space="preserve"> - </v>
          </cell>
          <cell r="T961">
            <v>0</v>
          </cell>
        </row>
        <row r="962">
          <cell r="S962" t="str">
            <v xml:space="preserve"> - </v>
          </cell>
          <cell r="T962">
            <v>0</v>
          </cell>
        </row>
        <row r="963">
          <cell r="S963" t="str">
            <v xml:space="preserve"> - </v>
          </cell>
          <cell r="T963">
            <v>0</v>
          </cell>
        </row>
        <row r="964">
          <cell r="S964" t="str">
            <v xml:space="preserve"> - </v>
          </cell>
          <cell r="T964">
            <v>0</v>
          </cell>
        </row>
        <row r="965">
          <cell r="S965" t="str">
            <v xml:space="preserve"> - </v>
          </cell>
          <cell r="T965">
            <v>0</v>
          </cell>
        </row>
        <row r="966">
          <cell r="S966" t="str">
            <v xml:space="preserve"> - </v>
          </cell>
          <cell r="T966">
            <v>0</v>
          </cell>
        </row>
        <row r="967">
          <cell r="S967" t="str">
            <v xml:space="preserve"> - </v>
          </cell>
          <cell r="T967">
            <v>0</v>
          </cell>
        </row>
        <row r="968">
          <cell r="S968" t="str">
            <v xml:space="preserve"> - </v>
          </cell>
          <cell r="T968">
            <v>0</v>
          </cell>
        </row>
        <row r="969">
          <cell r="S969" t="str">
            <v xml:space="preserve"> - </v>
          </cell>
          <cell r="T969">
            <v>0</v>
          </cell>
        </row>
        <row r="970">
          <cell r="S970" t="str">
            <v xml:space="preserve"> - </v>
          </cell>
          <cell r="T970">
            <v>0</v>
          </cell>
        </row>
        <row r="971">
          <cell r="S971" t="str">
            <v xml:space="preserve"> - </v>
          </cell>
          <cell r="T971">
            <v>0</v>
          </cell>
        </row>
        <row r="972">
          <cell r="S972" t="str">
            <v xml:space="preserve"> - </v>
          </cell>
          <cell r="T972">
            <v>0</v>
          </cell>
        </row>
        <row r="973">
          <cell r="S973" t="str">
            <v xml:space="preserve"> - </v>
          </cell>
          <cell r="T973">
            <v>0</v>
          </cell>
        </row>
        <row r="974">
          <cell r="S974" t="str">
            <v xml:space="preserve"> - </v>
          </cell>
          <cell r="T974">
            <v>0</v>
          </cell>
        </row>
        <row r="975">
          <cell r="S975" t="str">
            <v xml:space="preserve"> - </v>
          </cell>
          <cell r="T975">
            <v>0</v>
          </cell>
        </row>
        <row r="976">
          <cell r="S976" t="str">
            <v xml:space="preserve"> - </v>
          </cell>
          <cell r="T976">
            <v>0</v>
          </cell>
        </row>
        <row r="977">
          <cell r="S977" t="str">
            <v xml:space="preserve"> - </v>
          </cell>
          <cell r="T977">
            <v>0</v>
          </cell>
        </row>
        <row r="978">
          <cell r="S978" t="str">
            <v xml:space="preserve"> - </v>
          </cell>
          <cell r="T978">
            <v>0</v>
          </cell>
        </row>
        <row r="979">
          <cell r="S979" t="str">
            <v xml:space="preserve"> - </v>
          </cell>
          <cell r="T979">
            <v>0</v>
          </cell>
        </row>
        <row r="980">
          <cell r="S980" t="str">
            <v xml:space="preserve"> - </v>
          </cell>
          <cell r="T980">
            <v>0</v>
          </cell>
        </row>
        <row r="981">
          <cell r="S981" t="str">
            <v xml:space="preserve"> - </v>
          </cell>
          <cell r="T981">
            <v>0</v>
          </cell>
        </row>
        <row r="982">
          <cell r="S982" t="str">
            <v xml:space="preserve"> - </v>
          </cell>
          <cell r="T982">
            <v>0</v>
          </cell>
        </row>
        <row r="983">
          <cell r="S983" t="str">
            <v xml:space="preserve"> - </v>
          </cell>
          <cell r="T983">
            <v>0</v>
          </cell>
        </row>
        <row r="984">
          <cell r="S984" t="str">
            <v xml:space="preserve"> - </v>
          </cell>
          <cell r="T984">
            <v>0</v>
          </cell>
        </row>
        <row r="985">
          <cell r="S985" t="str">
            <v xml:space="preserve"> - </v>
          </cell>
          <cell r="T985">
            <v>0</v>
          </cell>
        </row>
        <row r="986">
          <cell r="S986" t="str">
            <v xml:space="preserve"> - </v>
          </cell>
          <cell r="T986">
            <v>0</v>
          </cell>
        </row>
        <row r="987">
          <cell r="S987" t="str">
            <v xml:space="preserve"> - </v>
          </cell>
          <cell r="T987">
            <v>0</v>
          </cell>
        </row>
        <row r="988">
          <cell r="S988" t="str">
            <v xml:space="preserve"> - </v>
          </cell>
          <cell r="T988">
            <v>0</v>
          </cell>
        </row>
        <row r="989">
          <cell r="S989" t="str">
            <v xml:space="preserve"> - </v>
          </cell>
          <cell r="T989">
            <v>0</v>
          </cell>
        </row>
        <row r="990">
          <cell r="S990" t="str">
            <v xml:space="preserve"> - </v>
          </cell>
          <cell r="T990">
            <v>0</v>
          </cell>
        </row>
        <row r="991">
          <cell r="S991" t="str">
            <v xml:space="preserve"> - </v>
          </cell>
          <cell r="T991">
            <v>0</v>
          </cell>
        </row>
        <row r="992">
          <cell r="S992" t="str">
            <v xml:space="preserve"> - </v>
          </cell>
          <cell r="T992">
            <v>0</v>
          </cell>
        </row>
        <row r="993">
          <cell r="S993" t="str">
            <v xml:space="preserve"> - </v>
          </cell>
          <cell r="T993">
            <v>0</v>
          </cell>
        </row>
        <row r="994">
          <cell r="S994" t="str">
            <v xml:space="preserve"> - </v>
          </cell>
          <cell r="T994">
            <v>0</v>
          </cell>
        </row>
        <row r="995">
          <cell r="S995" t="str">
            <v xml:space="preserve"> - </v>
          </cell>
          <cell r="T995">
            <v>0</v>
          </cell>
        </row>
        <row r="996">
          <cell r="S996" t="str">
            <v xml:space="preserve"> - </v>
          </cell>
          <cell r="T996">
            <v>0</v>
          </cell>
        </row>
        <row r="997">
          <cell r="S997" t="str">
            <v xml:space="preserve"> - </v>
          </cell>
          <cell r="T997">
            <v>0</v>
          </cell>
        </row>
      </sheetData>
      <sheetData sheetId="3">
        <row r="3">
          <cell r="E3" t="str">
            <v>Weekly Work Plan TSS SUKABUMI - W21</v>
          </cell>
        </row>
      </sheetData>
      <sheetData sheetId="4"/>
      <sheetData sheetId="5"/>
      <sheetData sheetId="6"/>
      <sheetData sheetId="7">
        <row r="5">
          <cell r="Y5">
            <v>17.000000000058208</v>
          </cell>
        </row>
      </sheetData>
      <sheetData sheetId="8"/>
      <sheetData sheetId="9"/>
      <sheetData sheetId="10"/>
      <sheetData sheetId="11"/>
      <sheetData sheetId="12">
        <row r="2">
          <cell r="D2" t="str">
            <v>TSS SUKABUMI 01</v>
          </cell>
          <cell r="O2">
            <v>1</v>
          </cell>
          <cell r="P2" t="str">
            <v>01</v>
          </cell>
        </row>
        <row r="3">
          <cell r="O3">
            <v>2</v>
          </cell>
          <cell r="P3" t="str">
            <v>02</v>
          </cell>
        </row>
        <row r="4">
          <cell r="O4">
            <v>3</v>
          </cell>
          <cell r="P4" t="str">
            <v>03</v>
          </cell>
        </row>
        <row r="5">
          <cell r="O5">
            <v>4</v>
          </cell>
          <cell r="P5" t="str">
            <v>04</v>
          </cell>
        </row>
        <row r="6">
          <cell r="O6">
            <v>5</v>
          </cell>
          <cell r="P6" t="str">
            <v>05</v>
          </cell>
        </row>
        <row r="7">
          <cell r="O7">
            <v>6</v>
          </cell>
          <cell r="P7" t="str">
            <v>06</v>
          </cell>
        </row>
        <row r="8">
          <cell r="O8">
            <v>7</v>
          </cell>
          <cell r="P8" t="str">
            <v>07</v>
          </cell>
        </row>
        <row r="9">
          <cell r="O9">
            <v>8</v>
          </cell>
          <cell r="P9" t="str">
            <v>08</v>
          </cell>
        </row>
        <row r="10">
          <cell r="O10">
            <v>9</v>
          </cell>
          <cell r="P10" t="str">
            <v>09</v>
          </cell>
        </row>
        <row r="11">
          <cell r="O11">
            <v>10</v>
          </cell>
          <cell r="P11" t="str">
            <v>10</v>
          </cell>
        </row>
        <row r="12">
          <cell r="O12">
            <v>11</v>
          </cell>
          <cell r="P12" t="str">
            <v>11</v>
          </cell>
        </row>
        <row r="13">
          <cell r="O13">
            <v>12</v>
          </cell>
          <cell r="P13" t="str">
            <v>12</v>
          </cell>
        </row>
        <row r="14">
          <cell r="O14">
            <v>13</v>
          </cell>
          <cell r="P14" t="str">
            <v>13</v>
          </cell>
        </row>
        <row r="15">
          <cell r="O15">
            <v>14</v>
          </cell>
          <cell r="P15" t="str">
            <v>14</v>
          </cell>
        </row>
        <row r="16">
          <cell r="O16">
            <v>15</v>
          </cell>
          <cell r="P16" t="str">
            <v>15</v>
          </cell>
        </row>
        <row r="17">
          <cell r="O17">
            <v>16</v>
          </cell>
          <cell r="P17" t="str">
            <v>16</v>
          </cell>
        </row>
        <row r="18">
          <cell r="O18">
            <v>17</v>
          </cell>
          <cell r="P18" t="str">
            <v>17</v>
          </cell>
        </row>
        <row r="19">
          <cell r="O19">
            <v>18</v>
          </cell>
          <cell r="P19" t="str">
            <v>18</v>
          </cell>
        </row>
        <row r="20">
          <cell r="O20">
            <v>19</v>
          </cell>
          <cell r="P20" t="str">
            <v>19</v>
          </cell>
        </row>
        <row r="21">
          <cell r="O21">
            <v>20</v>
          </cell>
          <cell r="P21" t="str">
            <v>20</v>
          </cell>
        </row>
        <row r="22">
          <cell r="O22">
            <v>21</v>
          </cell>
          <cell r="P22" t="str">
            <v>21</v>
          </cell>
        </row>
        <row r="23">
          <cell r="O23">
            <v>22</v>
          </cell>
          <cell r="P23" t="str">
            <v>22</v>
          </cell>
        </row>
        <row r="24">
          <cell r="O24">
            <v>23</v>
          </cell>
          <cell r="P24" t="str">
            <v>23</v>
          </cell>
        </row>
        <row r="25">
          <cell r="O25">
            <v>24</v>
          </cell>
          <cell r="P25" t="str">
            <v>24</v>
          </cell>
        </row>
        <row r="26">
          <cell r="O26">
            <v>25</v>
          </cell>
          <cell r="P26" t="str">
            <v>25</v>
          </cell>
        </row>
        <row r="27">
          <cell r="O27">
            <v>26</v>
          </cell>
          <cell r="P27" t="str">
            <v>26</v>
          </cell>
        </row>
        <row r="28">
          <cell r="O28">
            <v>27</v>
          </cell>
          <cell r="P28" t="str">
            <v>27</v>
          </cell>
        </row>
        <row r="29">
          <cell r="O29">
            <v>28</v>
          </cell>
          <cell r="P29" t="str">
            <v>28</v>
          </cell>
        </row>
        <row r="30">
          <cell r="O30">
            <v>29</v>
          </cell>
          <cell r="P30" t="str">
            <v>29</v>
          </cell>
        </row>
        <row r="31">
          <cell r="O31">
            <v>30</v>
          </cell>
          <cell r="P31" t="str">
            <v>30</v>
          </cell>
        </row>
        <row r="32">
          <cell r="O32">
            <v>31</v>
          </cell>
          <cell r="P32" t="str">
            <v>31</v>
          </cell>
        </row>
        <row r="33">
          <cell r="O33">
            <v>32</v>
          </cell>
          <cell r="P33" t="str">
            <v>32</v>
          </cell>
        </row>
        <row r="34">
          <cell r="O34">
            <v>33</v>
          </cell>
          <cell r="P34" t="str">
            <v>33</v>
          </cell>
        </row>
        <row r="35">
          <cell r="O35">
            <v>34</v>
          </cell>
          <cell r="P35" t="str">
            <v>34</v>
          </cell>
        </row>
        <row r="36">
          <cell r="O36">
            <v>35</v>
          </cell>
          <cell r="P36" t="str">
            <v>35</v>
          </cell>
        </row>
        <row r="37">
          <cell r="O37">
            <v>36</v>
          </cell>
          <cell r="P37" t="str">
            <v>36</v>
          </cell>
        </row>
        <row r="38">
          <cell r="O38">
            <v>37</v>
          </cell>
          <cell r="P38" t="str">
            <v>37</v>
          </cell>
        </row>
        <row r="39">
          <cell r="O39">
            <v>38</v>
          </cell>
          <cell r="P39" t="str">
            <v>38</v>
          </cell>
        </row>
        <row r="40">
          <cell r="O40">
            <v>39</v>
          </cell>
          <cell r="P40" t="str">
            <v>39</v>
          </cell>
        </row>
        <row r="41">
          <cell r="O41">
            <v>40</v>
          </cell>
          <cell r="P41" t="str">
            <v>40</v>
          </cell>
        </row>
        <row r="42">
          <cell r="O42">
            <v>41</v>
          </cell>
          <cell r="P42" t="str">
            <v>41</v>
          </cell>
        </row>
        <row r="43">
          <cell r="O43">
            <v>42</v>
          </cell>
          <cell r="P43" t="str">
            <v>42</v>
          </cell>
        </row>
        <row r="44">
          <cell r="O44">
            <v>43</v>
          </cell>
          <cell r="P44" t="str">
            <v>43</v>
          </cell>
        </row>
        <row r="45">
          <cell r="O45">
            <v>44</v>
          </cell>
          <cell r="P45" t="str">
            <v>44</v>
          </cell>
        </row>
        <row r="46">
          <cell r="O46">
            <v>45</v>
          </cell>
          <cell r="P46" t="str">
            <v>45</v>
          </cell>
        </row>
        <row r="47">
          <cell r="O47">
            <v>46</v>
          </cell>
          <cell r="P47" t="str">
            <v>46</v>
          </cell>
        </row>
        <row r="48">
          <cell r="O48">
            <v>47</v>
          </cell>
          <cell r="P48" t="str">
            <v>47</v>
          </cell>
        </row>
        <row r="49">
          <cell r="O49">
            <v>48</v>
          </cell>
          <cell r="P49" t="str">
            <v>48</v>
          </cell>
        </row>
        <row r="50">
          <cell r="O50">
            <v>49</v>
          </cell>
          <cell r="P50" t="str">
            <v>49</v>
          </cell>
        </row>
        <row r="51">
          <cell r="O51">
            <v>50</v>
          </cell>
          <cell r="P51" t="str">
            <v>50</v>
          </cell>
        </row>
        <row r="52">
          <cell r="O52">
            <v>51</v>
          </cell>
          <cell r="P52" t="str">
            <v>51</v>
          </cell>
        </row>
        <row r="53">
          <cell r="O53">
            <v>52</v>
          </cell>
          <cell r="P53" t="str">
            <v>52</v>
          </cell>
        </row>
        <row r="54">
          <cell r="O54">
            <v>53</v>
          </cell>
          <cell r="P54" t="str">
            <v>53</v>
          </cell>
        </row>
        <row r="55">
          <cell r="O55">
            <v>54</v>
          </cell>
          <cell r="P55" t="str">
            <v>54</v>
          </cell>
        </row>
        <row r="58">
          <cell r="B58" t="str">
            <v>Unit</v>
          </cell>
          <cell r="C58" t="str">
            <v>Model</v>
          </cell>
        </row>
        <row r="59">
          <cell r="B59" t="str">
            <v>F1T01</v>
          </cell>
          <cell r="C59" t="str">
            <v>773E</v>
          </cell>
        </row>
        <row r="60">
          <cell r="B60" t="str">
            <v>F1T02</v>
          </cell>
          <cell r="C60" t="str">
            <v>773E</v>
          </cell>
        </row>
        <row r="61">
          <cell r="B61" t="str">
            <v>F1T03</v>
          </cell>
          <cell r="C61" t="str">
            <v>773E</v>
          </cell>
        </row>
        <row r="62">
          <cell r="B62" t="str">
            <v>F1T04</v>
          </cell>
          <cell r="C62" t="str">
            <v>773E</v>
          </cell>
        </row>
        <row r="63">
          <cell r="B63" t="str">
            <v>F1T05</v>
          </cell>
          <cell r="C63" t="str">
            <v>773E</v>
          </cell>
        </row>
        <row r="64">
          <cell r="B64" t="str">
            <v>F1T06</v>
          </cell>
          <cell r="C64" t="str">
            <v>773E</v>
          </cell>
        </row>
        <row r="65">
          <cell r="B65" t="str">
            <v>F1T07</v>
          </cell>
          <cell r="C65" t="str">
            <v>773E</v>
          </cell>
        </row>
        <row r="66">
          <cell r="B66" t="str">
            <v>F1W01</v>
          </cell>
          <cell r="C66" t="str">
            <v>988H</v>
          </cell>
        </row>
        <row r="67">
          <cell r="B67" t="str">
            <v>F1W02</v>
          </cell>
          <cell r="C67" t="str">
            <v>988H</v>
          </cell>
        </row>
        <row r="68">
          <cell r="B68" t="str">
            <v>F1W03</v>
          </cell>
          <cell r="C68" t="str">
            <v>988H</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utorial"/>
      <sheetName val="WorkPlan2"/>
      <sheetName val="DailyWeeklyPlan"/>
      <sheetName val="WWP Report"/>
      <sheetName val="DDTL"/>
      <sheetName val="777"/>
      <sheetName val="785"/>
      <sheetName val="390DL"/>
      <sheetName val="320D"/>
      <sheetName val="Overlap"/>
      <sheetName val="UNA777"/>
      <sheetName val="UNA785"/>
      <sheetName val="UNA390DL"/>
      <sheetName val="UNA320D"/>
      <sheetName val="Pre_GantChart"/>
      <sheetName val="GantChart"/>
      <sheetName val="Judul"/>
      <sheetName val="Auto Gen SKO_REV_05"/>
    </sheetNames>
    <sheetDataSet>
      <sheetData sheetId="0"/>
      <sheetData sheetId="1">
        <row r="44">
          <cell r="L44" t="str">
            <v>SOROWAKO</v>
          </cell>
        </row>
      </sheetData>
      <sheetData sheetId="2">
        <row r="3">
          <cell r="S3" t="str">
            <v xml:space="preserve">STEquip Plan - </v>
          </cell>
          <cell r="T3" t="str">
            <v>Exp. Down</v>
          </cell>
        </row>
        <row r="4">
          <cell r="B4" t="str">
            <v>HT2007</v>
          </cell>
          <cell r="C4" t="str">
            <v>777C</v>
          </cell>
          <cell r="D4" t="str">
            <v>IP</v>
          </cell>
          <cell r="E4">
            <v>42540.504166666666</v>
          </cell>
          <cell r="F4">
            <v>42607.708912037036</v>
          </cell>
          <cell r="G4">
            <v>1612.914</v>
          </cell>
          <cell r="S4" t="str">
            <v xml:space="preserve">IPHT2007 - </v>
          </cell>
          <cell r="T4">
            <v>1612.914</v>
          </cell>
        </row>
        <row r="5">
          <cell r="B5" t="str">
            <v>HT2016</v>
          </cell>
          <cell r="C5" t="str">
            <v>777D</v>
          </cell>
          <cell r="D5" t="str">
            <v>IP</v>
          </cell>
          <cell r="E5">
            <v>42517.085416666669</v>
          </cell>
          <cell r="F5">
            <v>42518.25</v>
          </cell>
          <cell r="G5">
            <v>27.95</v>
          </cell>
          <cell r="S5" t="str">
            <v xml:space="preserve"> - </v>
          </cell>
          <cell r="T5">
            <v>0</v>
          </cell>
        </row>
        <row r="6">
          <cell r="S6" t="str">
            <v xml:space="preserve"> - </v>
          </cell>
          <cell r="T6">
            <v>0</v>
          </cell>
        </row>
        <row r="7">
          <cell r="S7" t="str">
            <v xml:space="preserve"> - </v>
          </cell>
          <cell r="T7">
            <v>0</v>
          </cell>
        </row>
        <row r="8">
          <cell r="S8" t="str">
            <v xml:space="preserve"> - </v>
          </cell>
          <cell r="T8">
            <v>0</v>
          </cell>
        </row>
        <row r="9">
          <cell r="S9" t="str">
            <v xml:space="preserve"> - </v>
          </cell>
          <cell r="T9">
            <v>0</v>
          </cell>
        </row>
        <row r="10">
          <cell r="B10" t="str">
            <v>HT2040</v>
          </cell>
          <cell r="C10" t="str">
            <v>777D</v>
          </cell>
          <cell r="D10" t="str">
            <v>YTS</v>
          </cell>
          <cell r="E10">
            <v>42924.208333333336</v>
          </cell>
          <cell r="F10">
            <v>42926.375</v>
          </cell>
          <cell r="G10">
            <v>52</v>
          </cell>
          <cell r="S10" t="str">
            <v xml:space="preserve"> - </v>
          </cell>
          <cell r="T10">
            <v>0</v>
          </cell>
        </row>
        <row r="11">
          <cell r="B11" t="str">
            <v>HT2020</v>
          </cell>
          <cell r="C11" t="str">
            <v>777D</v>
          </cell>
          <cell r="D11" t="str">
            <v>IP</v>
          </cell>
          <cell r="E11">
            <v>42517.280555555553</v>
          </cell>
          <cell r="F11">
            <v>42518.625</v>
          </cell>
          <cell r="G11">
            <v>32.266999999999996</v>
          </cell>
          <cell r="S11" t="str">
            <v xml:space="preserve"> - </v>
          </cell>
          <cell r="T11">
            <v>0</v>
          </cell>
        </row>
        <row r="12">
          <cell r="S12" t="str">
            <v xml:space="preserve"> - </v>
          </cell>
          <cell r="T12">
            <v>0</v>
          </cell>
        </row>
        <row r="13">
          <cell r="S13" t="str">
            <v xml:space="preserve"> - </v>
          </cell>
          <cell r="T13">
            <v>0</v>
          </cell>
        </row>
        <row r="14">
          <cell r="B14" t="str">
            <v>HE4020</v>
          </cell>
          <cell r="C14" t="str">
            <v>390DL</v>
          </cell>
          <cell r="D14" t="str">
            <v>YTS</v>
          </cell>
          <cell r="E14">
            <v>42924.25</v>
          </cell>
          <cell r="F14">
            <v>42924.583333333336</v>
          </cell>
          <cell r="G14">
            <v>8</v>
          </cell>
          <cell r="S14" t="str">
            <v xml:space="preserve"> - </v>
          </cell>
          <cell r="T14">
            <v>0</v>
          </cell>
        </row>
        <row r="15">
          <cell r="B15" t="str">
            <v>HT2044</v>
          </cell>
          <cell r="C15" t="str">
            <v>777D</v>
          </cell>
          <cell r="D15" t="str">
            <v>IP</v>
          </cell>
          <cell r="E15">
            <v>42573.659722222219</v>
          </cell>
          <cell r="F15">
            <v>42582.958749999998</v>
          </cell>
          <cell r="G15">
            <v>223.17700000000002</v>
          </cell>
          <cell r="S15" t="str">
            <v xml:space="preserve">IPHT2044 - </v>
          </cell>
          <cell r="T15">
            <v>223.17700000000002</v>
          </cell>
        </row>
        <row r="16">
          <cell r="S16" t="str">
            <v xml:space="preserve"> - </v>
          </cell>
          <cell r="T16">
            <v>0</v>
          </cell>
        </row>
        <row r="17">
          <cell r="S17" t="str">
            <v xml:space="preserve"> - </v>
          </cell>
          <cell r="T17">
            <v>0</v>
          </cell>
        </row>
        <row r="18">
          <cell r="B18" t="str">
            <v>HT2040</v>
          </cell>
          <cell r="C18" t="str">
            <v>777D</v>
          </cell>
          <cell r="D18" t="str">
            <v>IP</v>
          </cell>
          <cell r="E18">
            <v>42574.338888888888</v>
          </cell>
          <cell r="F18">
            <v>42584.958807870367</v>
          </cell>
          <cell r="G18">
            <v>254.87799999999999</v>
          </cell>
          <cell r="S18" t="str">
            <v xml:space="preserve">IPHT2040 - </v>
          </cell>
          <cell r="T18">
            <v>254.87799999999999</v>
          </cell>
        </row>
        <row r="19">
          <cell r="S19" t="str">
            <v xml:space="preserve"> - </v>
          </cell>
          <cell r="T19">
            <v>0</v>
          </cell>
        </row>
        <row r="20">
          <cell r="S20" t="str">
            <v xml:space="preserve"> - </v>
          </cell>
          <cell r="T20">
            <v>0</v>
          </cell>
        </row>
        <row r="21">
          <cell r="S21" t="str">
            <v xml:space="preserve"> - </v>
          </cell>
          <cell r="T21">
            <v>0</v>
          </cell>
        </row>
        <row r="22">
          <cell r="B22" t="str">
            <v>HT2032</v>
          </cell>
          <cell r="C22" t="str">
            <v>777D</v>
          </cell>
          <cell r="D22" t="str">
            <v>YTS</v>
          </cell>
          <cell r="E22">
            <v>42924.75</v>
          </cell>
          <cell r="F22">
            <v>42925.333333333336</v>
          </cell>
          <cell r="G22">
            <v>14</v>
          </cell>
          <cell r="S22" t="str">
            <v xml:space="preserve"> - </v>
          </cell>
          <cell r="T22">
            <v>0</v>
          </cell>
        </row>
        <row r="23">
          <cell r="S23" t="str">
            <v xml:space="preserve"> - </v>
          </cell>
          <cell r="T23">
            <v>0</v>
          </cell>
        </row>
        <row r="24">
          <cell r="S24" t="str">
            <v xml:space="preserve"> - </v>
          </cell>
          <cell r="T24">
            <v>0</v>
          </cell>
        </row>
        <row r="25">
          <cell r="B25" t="str">
            <v>HT2087</v>
          </cell>
          <cell r="C25" t="str">
            <v>777D-FKR</v>
          </cell>
          <cell r="D25" t="str">
            <v>YTS</v>
          </cell>
          <cell r="E25">
            <v>42925.208333333336</v>
          </cell>
          <cell r="F25">
            <v>42927.041666666664</v>
          </cell>
          <cell r="G25">
            <v>44</v>
          </cell>
          <cell r="S25" t="str">
            <v xml:space="preserve"> - </v>
          </cell>
          <cell r="T25">
            <v>0</v>
          </cell>
        </row>
        <row r="26">
          <cell r="S26" t="str">
            <v xml:space="preserve"> - </v>
          </cell>
          <cell r="T26">
            <v>0</v>
          </cell>
        </row>
        <row r="27">
          <cell r="B27" t="str">
            <v>HT2027</v>
          </cell>
          <cell r="C27" t="str">
            <v>777D</v>
          </cell>
          <cell r="D27" t="str">
            <v>YTS</v>
          </cell>
          <cell r="E27">
            <v>42518.208333333336</v>
          </cell>
          <cell r="F27">
            <v>42518.958333333336</v>
          </cell>
          <cell r="G27">
            <v>18</v>
          </cell>
          <cell r="S27" t="str">
            <v xml:space="preserve"> - </v>
          </cell>
          <cell r="T27">
            <v>0</v>
          </cell>
        </row>
        <row r="28">
          <cell r="B28" t="str">
            <v>HE4023</v>
          </cell>
          <cell r="C28" t="str">
            <v>390DL</v>
          </cell>
          <cell r="D28" t="str">
            <v>YTS</v>
          </cell>
          <cell r="E28">
            <v>42518.25</v>
          </cell>
          <cell r="F28">
            <v>42519.5</v>
          </cell>
          <cell r="G28">
            <v>30</v>
          </cell>
          <cell r="S28" t="str">
            <v xml:space="preserve"> - </v>
          </cell>
          <cell r="T28">
            <v>0</v>
          </cell>
        </row>
        <row r="29">
          <cell r="B29" t="str">
            <v>HT2079</v>
          </cell>
          <cell r="C29" t="str">
            <v>777D-FKR</v>
          </cell>
          <cell r="D29" t="str">
            <v>IP</v>
          </cell>
          <cell r="E29">
            <v>42887.647222222222</v>
          </cell>
          <cell r="F29">
            <v>42889.958333333336</v>
          </cell>
          <cell r="G29">
            <v>55.466999999999999</v>
          </cell>
          <cell r="S29" t="str">
            <v xml:space="preserve"> - </v>
          </cell>
          <cell r="T29">
            <v>0</v>
          </cell>
        </row>
        <row r="30">
          <cell r="S30" t="str">
            <v xml:space="preserve"> - </v>
          </cell>
          <cell r="T30">
            <v>0</v>
          </cell>
        </row>
        <row r="31">
          <cell r="S31" t="str">
            <v xml:space="preserve"> - </v>
          </cell>
          <cell r="T31">
            <v>0</v>
          </cell>
        </row>
        <row r="32">
          <cell r="B32" t="str">
            <v>HT2037</v>
          </cell>
          <cell r="C32" t="str">
            <v>777D</v>
          </cell>
          <cell r="D32" t="str">
            <v>YTS</v>
          </cell>
          <cell r="E32">
            <v>42518.25</v>
          </cell>
          <cell r="F32">
            <v>42521.333333333336</v>
          </cell>
          <cell r="G32">
            <v>74</v>
          </cell>
          <cell r="S32" t="str">
            <v xml:space="preserve"> - </v>
          </cell>
          <cell r="T32">
            <v>0</v>
          </cell>
        </row>
        <row r="33">
          <cell r="S33" t="str">
            <v xml:space="preserve"> - </v>
          </cell>
          <cell r="T33">
            <v>0</v>
          </cell>
        </row>
        <row r="34">
          <cell r="B34" t="str">
            <v>HT2037</v>
          </cell>
          <cell r="C34" t="str">
            <v>777D</v>
          </cell>
          <cell r="D34" t="str">
            <v>IP</v>
          </cell>
          <cell r="E34">
            <v>42575.850694444445</v>
          </cell>
          <cell r="F34">
            <v>42581.708541666667</v>
          </cell>
          <cell r="G34">
            <v>140.58799999999999</v>
          </cell>
          <cell r="S34" t="str">
            <v xml:space="preserve">IPHT2037 - </v>
          </cell>
          <cell r="T34">
            <v>140.58799999999999</v>
          </cell>
        </row>
        <row r="35">
          <cell r="S35" t="str">
            <v xml:space="preserve"> - </v>
          </cell>
          <cell r="T35">
            <v>0</v>
          </cell>
        </row>
        <row r="36">
          <cell r="B36" t="str">
            <v>HT2039</v>
          </cell>
          <cell r="C36" t="str">
            <v>777D</v>
          </cell>
          <cell r="D36" t="str">
            <v>YTS</v>
          </cell>
          <cell r="E36">
            <v>42925.25</v>
          </cell>
          <cell r="F36">
            <v>42925.833333333336</v>
          </cell>
          <cell r="G36">
            <v>14</v>
          </cell>
          <cell r="S36" t="str">
            <v xml:space="preserve"> - </v>
          </cell>
          <cell r="T36">
            <v>0</v>
          </cell>
        </row>
        <row r="37">
          <cell r="B37" t="str">
            <v>HE4024</v>
          </cell>
          <cell r="C37" t="str">
            <v>390DL</v>
          </cell>
          <cell r="D37" t="str">
            <v>IP</v>
          </cell>
          <cell r="E37">
            <v>42888.11041666667</v>
          </cell>
          <cell r="F37">
            <v>42889.21334490741</v>
          </cell>
          <cell r="G37">
            <v>26.47</v>
          </cell>
          <cell r="S37" t="str">
            <v xml:space="preserve"> - </v>
          </cell>
          <cell r="T37">
            <v>0</v>
          </cell>
        </row>
        <row r="38">
          <cell r="B38" t="str">
            <v>HE4024</v>
          </cell>
          <cell r="C38" t="str">
            <v>390DL</v>
          </cell>
          <cell r="D38" t="str">
            <v>YTS</v>
          </cell>
          <cell r="E38">
            <v>42888.25</v>
          </cell>
          <cell r="F38">
            <v>42889.25</v>
          </cell>
          <cell r="G38">
            <v>24</v>
          </cell>
          <cell r="S38" t="str">
            <v xml:space="preserve"> - </v>
          </cell>
          <cell r="T38">
            <v>0</v>
          </cell>
        </row>
        <row r="39">
          <cell r="B39" t="str">
            <v>HT4002</v>
          </cell>
          <cell r="C39" t="str">
            <v>785C-APX</v>
          </cell>
          <cell r="D39" t="str">
            <v>YTS</v>
          </cell>
          <cell r="E39">
            <v>42889.208333333336</v>
          </cell>
          <cell r="F39">
            <v>42890.541666666664</v>
          </cell>
          <cell r="G39">
            <v>32</v>
          </cell>
          <cell r="S39" t="str">
            <v xml:space="preserve"> - </v>
          </cell>
          <cell r="T39">
            <v>0</v>
          </cell>
        </row>
        <row r="40">
          <cell r="B40" t="str">
            <v>HT2033</v>
          </cell>
          <cell r="C40" t="str">
            <v>777D</v>
          </cell>
          <cell r="D40" t="str">
            <v>YTS</v>
          </cell>
          <cell r="E40">
            <v>42925.541666666664</v>
          </cell>
          <cell r="F40">
            <v>42926.291666666664</v>
          </cell>
          <cell r="G40">
            <v>18</v>
          </cell>
          <cell r="S40" t="str">
            <v xml:space="preserve"> - </v>
          </cell>
          <cell r="T40">
            <v>0</v>
          </cell>
        </row>
        <row r="41">
          <cell r="S41" t="str">
            <v xml:space="preserve"> - </v>
          </cell>
          <cell r="T41">
            <v>0</v>
          </cell>
        </row>
        <row r="42">
          <cell r="S42" t="str">
            <v xml:space="preserve"> - </v>
          </cell>
          <cell r="T42">
            <v>0</v>
          </cell>
        </row>
        <row r="43">
          <cell r="S43" t="str">
            <v xml:space="preserve"> - </v>
          </cell>
          <cell r="T43">
            <v>0</v>
          </cell>
        </row>
        <row r="44">
          <cell r="S44" t="str">
            <v xml:space="preserve"> - </v>
          </cell>
          <cell r="T44">
            <v>0</v>
          </cell>
        </row>
        <row r="45">
          <cell r="B45" t="str">
            <v>HT4002</v>
          </cell>
          <cell r="C45" t="str">
            <v>785C-APX</v>
          </cell>
          <cell r="D45" t="str">
            <v>YTS</v>
          </cell>
          <cell r="E45">
            <v>42925.75</v>
          </cell>
          <cell r="F45">
            <v>42926.666666666664</v>
          </cell>
          <cell r="G45">
            <v>22</v>
          </cell>
          <cell r="S45" t="str">
            <v xml:space="preserve"> - </v>
          </cell>
          <cell r="T45">
            <v>0</v>
          </cell>
        </row>
        <row r="46">
          <cell r="S46" t="str">
            <v xml:space="preserve"> - </v>
          </cell>
          <cell r="T46">
            <v>0</v>
          </cell>
        </row>
        <row r="47">
          <cell r="B47" t="str">
            <v>HT2028</v>
          </cell>
          <cell r="C47" t="str">
            <v>777D</v>
          </cell>
          <cell r="D47" t="str">
            <v>YTS</v>
          </cell>
          <cell r="E47">
            <v>42519.208333333336</v>
          </cell>
          <cell r="F47">
            <v>42520.125</v>
          </cell>
          <cell r="G47">
            <v>22</v>
          </cell>
          <cell r="S47" t="str">
            <v xml:space="preserve"> - </v>
          </cell>
          <cell r="T47">
            <v>0</v>
          </cell>
        </row>
        <row r="48">
          <cell r="B48" t="str">
            <v>HT2034</v>
          </cell>
          <cell r="C48" t="str">
            <v>777D</v>
          </cell>
          <cell r="D48" t="str">
            <v>YTS</v>
          </cell>
          <cell r="E48">
            <v>42889.541666666664</v>
          </cell>
          <cell r="F48">
            <v>42890.041666666664</v>
          </cell>
          <cell r="G48">
            <v>12</v>
          </cell>
          <cell r="S48" t="str">
            <v xml:space="preserve"> - </v>
          </cell>
          <cell r="T48">
            <v>0</v>
          </cell>
        </row>
        <row r="49">
          <cell r="B49" t="str">
            <v>HT2044</v>
          </cell>
          <cell r="C49" t="str">
            <v>777D</v>
          </cell>
          <cell r="D49" t="str">
            <v>YTS</v>
          </cell>
          <cell r="E49">
            <v>42926.208333333336</v>
          </cell>
          <cell r="F49">
            <v>42926.708333333336</v>
          </cell>
          <cell r="G49">
            <v>12</v>
          </cell>
          <cell r="S49" t="str">
            <v xml:space="preserve"> - </v>
          </cell>
          <cell r="T49">
            <v>0</v>
          </cell>
        </row>
        <row r="50">
          <cell r="B50" t="str">
            <v>HT2050</v>
          </cell>
          <cell r="C50" t="str">
            <v>777D</v>
          </cell>
          <cell r="D50" t="str">
            <v>IP</v>
          </cell>
          <cell r="E50">
            <v>42578.6875</v>
          </cell>
          <cell r="F50">
            <v>42582.708807870367</v>
          </cell>
          <cell r="G50">
            <v>96.51100000000001</v>
          </cell>
          <cell r="S50" t="str">
            <v xml:space="preserve">IPHT2050 - </v>
          </cell>
          <cell r="T50">
            <v>96.51100000000001</v>
          </cell>
        </row>
        <row r="51">
          <cell r="B51" t="str">
            <v>HT2077</v>
          </cell>
          <cell r="C51" t="str">
            <v>777D-FKR</v>
          </cell>
          <cell r="D51" t="str">
            <v>YTS</v>
          </cell>
          <cell r="E51">
            <v>42926.25</v>
          </cell>
          <cell r="F51">
            <v>42926.75</v>
          </cell>
          <cell r="G51">
            <v>12</v>
          </cell>
          <cell r="S51" t="str">
            <v xml:space="preserve"> - </v>
          </cell>
          <cell r="T51">
            <v>0</v>
          </cell>
        </row>
        <row r="52">
          <cell r="B52" t="str">
            <v>HE4024</v>
          </cell>
          <cell r="C52" t="str">
            <v>390DL</v>
          </cell>
          <cell r="D52" t="str">
            <v>IP</v>
          </cell>
          <cell r="E52">
            <v>42579.375694444447</v>
          </cell>
          <cell r="F52">
            <v>42583.208333333336</v>
          </cell>
          <cell r="G52">
            <v>91.98299999999999</v>
          </cell>
          <cell r="S52" t="str">
            <v xml:space="preserve">IPHE4024 - </v>
          </cell>
          <cell r="T52">
            <v>91.98299999999999</v>
          </cell>
        </row>
        <row r="53">
          <cell r="B53" t="str">
            <v>HT2038</v>
          </cell>
          <cell r="C53" t="str">
            <v>777D</v>
          </cell>
          <cell r="D53" t="str">
            <v>YTS</v>
          </cell>
          <cell r="E53">
            <v>42926.541666666664</v>
          </cell>
          <cell r="F53">
            <v>42927.208333333336</v>
          </cell>
          <cell r="G53">
            <v>16</v>
          </cell>
          <cell r="S53" t="str">
            <v xml:space="preserve"> - </v>
          </cell>
          <cell r="T53">
            <v>0</v>
          </cell>
        </row>
        <row r="54">
          <cell r="S54" t="str">
            <v xml:space="preserve"> - </v>
          </cell>
          <cell r="T54">
            <v>0</v>
          </cell>
        </row>
        <row r="55">
          <cell r="S55" t="str">
            <v xml:space="preserve"> - </v>
          </cell>
          <cell r="T55">
            <v>0</v>
          </cell>
        </row>
        <row r="56">
          <cell r="S56" t="str">
            <v xml:space="preserve"> - </v>
          </cell>
          <cell r="T56">
            <v>0</v>
          </cell>
        </row>
        <row r="57">
          <cell r="S57" t="str">
            <v xml:space="preserve"> - </v>
          </cell>
          <cell r="T57">
            <v>0</v>
          </cell>
        </row>
        <row r="58">
          <cell r="B58" t="str">
            <v>HT2093</v>
          </cell>
          <cell r="C58" t="str">
            <v>777D-FKR</v>
          </cell>
          <cell r="D58" t="str">
            <v>YTS</v>
          </cell>
          <cell r="E58">
            <v>42519.25</v>
          </cell>
          <cell r="F58">
            <v>42520</v>
          </cell>
          <cell r="G58">
            <v>18</v>
          </cell>
          <cell r="S58" t="str">
            <v xml:space="preserve"> - </v>
          </cell>
          <cell r="T58">
            <v>0</v>
          </cell>
        </row>
        <row r="59">
          <cell r="B59" t="str">
            <v>HT2047</v>
          </cell>
          <cell r="C59" t="str">
            <v>777D</v>
          </cell>
          <cell r="D59" t="str">
            <v>YTS</v>
          </cell>
          <cell r="E59">
            <v>42926.75</v>
          </cell>
          <cell r="F59">
            <v>42928.833333333336</v>
          </cell>
          <cell r="G59">
            <v>50</v>
          </cell>
          <cell r="S59" t="str">
            <v xml:space="preserve"> - </v>
          </cell>
          <cell r="T59">
            <v>0</v>
          </cell>
        </row>
        <row r="60">
          <cell r="B60" t="str">
            <v>HT2002</v>
          </cell>
          <cell r="C60" t="str">
            <v>777C</v>
          </cell>
          <cell r="D60" t="str">
            <v>YTS</v>
          </cell>
          <cell r="E60">
            <v>42519.541666666664</v>
          </cell>
          <cell r="F60">
            <v>42521.375</v>
          </cell>
          <cell r="G60">
            <v>44</v>
          </cell>
          <cell r="S60" t="str">
            <v xml:space="preserve"> - </v>
          </cell>
          <cell r="T60">
            <v>0</v>
          </cell>
        </row>
        <row r="61">
          <cell r="B61" t="str">
            <v>HT2074</v>
          </cell>
          <cell r="C61" t="str">
            <v>777D-FKR</v>
          </cell>
          <cell r="D61" t="str">
            <v>YTS</v>
          </cell>
          <cell r="E61">
            <v>42580.541666666664</v>
          </cell>
          <cell r="F61">
            <v>42581.541666666664</v>
          </cell>
          <cell r="G61">
            <v>24</v>
          </cell>
          <cell r="S61" t="str">
            <v xml:space="preserve">YTSHT2074 - </v>
          </cell>
          <cell r="T61">
            <v>24</v>
          </cell>
        </row>
        <row r="62">
          <cell r="S62" t="str">
            <v xml:space="preserve"> - </v>
          </cell>
          <cell r="T62">
            <v>0</v>
          </cell>
        </row>
        <row r="63">
          <cell r="S63" t="str">
            <v xml:space="preserve"> - </v>
          </cell>
          <cell r="T63">
            <v>0</v>
          </cell>
        </row>
        <row r="64">
          <cell r="S64" t="str">
            <v xml:space="preserve"> - </v>
          </cell>
          <cell r="T64">
            <v>0</v>
          </cell>
        </row>
        <row r="65">
          <cell r="B65" t="str">
            <v>HT2014</v>
          </cell>
          <cell r="C65" t="str">
            <v>777D</v>
          </cell>
          <cell r="D65" t="str">
            <v>YTS</v>
          </cell>
          <cell r="E65">
            <v>42890.208333333336</v>
          </cell>
          <cell r="F65">
            <v>42890.958333333336</v>
          </cell>
          <cell r="G65">
            <v>18</v>
          </cell>
          <cell r="S65" t="str">
            <v xml:space="preserve"> - </v>
          </cell>
          <cell r="T65">
            <v>0</v>
          </cell>
        </row>
        <row r="66">
          <cell r="S66" t="str">
            <v xml:space="preserve"> - </v>
          </cell>
          <cell r="T66">
            <v>0</v>
          </cell>
        </row>
        <row r="67">
          <cell r="S67" t="str">
            <v xml:space="preserve"> - </v>
          </cell>
          <cell r="T67">
            <v>0</v>
          </cell>
        </row>
        <row r="68">
          <cell r="B68" t="str">
            <v>HT2001</v>
          </cell>
          <cell r="C68" t="str">
            <v>777C</v>
          </cell>
          <cell r="D68" t="str">
            <v>YTS</v>
          </cell>
          <cell r="E68">
            <v>42890.541666666664</v>
          </cell>
          <cell r="F68">
            <v>42891.125</v>
          </cell>
          <cell r="G68">
            <v>14</v>
          </cell>
          <cell r="S68" t="str">
            <v xml:space="preserve"> - </v>
          </cell>
          <cell r="T68">
            <v>0</v>
          </cell>
        </row>
        <row r="69">
          <cell r="B69" t="str">
            <v>HT2008</v>
          </cell>
          <cell r="C69" t="str">
            <v>777C</v>
          </cell>
          <cell r="D69" t="str">
            <v>YTS</v>
          </cell>
          <cell r="E69">
            <v>42927.208333333336</v>
          </cell>
          <cell r="F69">
            <v>42927.791666666664</v>
          </cell>
          <cell r="G69">
            <v>14</v>
          </cell>
          <cell r="S69" t="str">
            <v xml:space="preserve"> - </v>
          </cell>
          <cell r="T69">
            <v>0</v>
          </cell>
        </row>
        <row r="70">
          <cell r="B70" t="str">
            <v>HT2002</v>
          </cell>
          <cell r="C70" t="str">
            <v>777C</v>
          </cell>
          <cell r="D70" t="str">
            <v>YTS</v>
          </cell>
          <cell r="E70">
            <v>42580.75</v>
          </cell>
          <cell r="F70">
            <v>42582.875</v>
          </cell>
          <cell r="G70">
            <v>51</v>
          </cell>
          <cell r="S70" t="str">
            <v xml:space="preserve">YTSHT2002 - </v>
          </cell>
          <cell r="T70">
            <v>51</v>
          </cell>
        </row>
        <row r="71">
          <cell r="B71" t="str">
            <v>HT2020</v>
          </cell>
          <cell r="C71" t="str">
            <v>777D</v>
          </cell>
          <cell r="D71" t="str">
            <v>YTS</v>
          </cell>
          <cell r="E71">
            <v>42581.25</v>
          </cell>
          <cell r="F71">
            <v>42582</v>
          </cell>
          <cell r="G71">
            <v>18</v>
          </cell>
          <cell r="S71" t="str">
            <v>YTSHT2020 - W32</v>
          </cell>
          <cell r="T71">
            <v>18</v>
          </cell>
        </row>
        <row r="72">
          <cell r="S72" t="str">
            <v xml:space="preserve"> - </v>
          </cell>
          <cell r="T72">
            <v>0</v>
          </cell>
        </row>
        <row r="73">
          <cell r="S73" t="str">
            <v xml:space="preserve"> - </v>
          </cell>
          <cell r="T73">
            <v>0</v>
          </cell>
        </row>
        <row r="74">
          <cell r="S74" t="str">
            <v xml:space="preserve"> - </v>
          </cell>
          <cell r="T74">
            <v>0</v>
          </cell>
        </row>
        <row r="75">
          <cell r="S75" t="str">
            <v xml:space="preserve"> - </v>
          </cell>
          <cell r="T75">
            <v>0</v>
          </cell>
        </row>
        <row r="76">
          <cell r="S76" t="str">
            <v xml:space="preserve"> - </v>
          </cell>
          <cell r="T76">
            <v>0</v>
          </cell>
        </row>
        <row r="77">
          <cell r="S77" t="str">
            <v xml:space="preserve"> - </v>
          </cell>
          <cell r="T77">
            <v>0</v>
          </cell>
        </row>
        <row r="78">
          <cell r="B78" t="str">
            <v>HT4001</v>
          </cell>
          <cell r="C78" t="str">
            <v>785C-APX</v>
          </cell>
          <cell r="D78" t="str">
            <v>YTS</v>
          </cell>
          <cell r="E78">
            <v>42581.541666666664</v>
          </cell>
          <cell r="F78">
            <v>42581.666666666664</v>
          </cell>
          <cell r="G78">
            <v>3</v>
          </cell>
          <cell r="S78" t="str">
            <v>YTSHT4001 - W32</v>
          </cell>
          <cell r="T78">
            <v>3</v>
          </cell>
        </row>
        <row r="79">
          <cell r="B79" t="str">
            <v>HT2089</v>
          </cell>
          <cell r="C79" t="str">
            <v>777D-FKR</v>
          </cell>
          <cell r="D79" t="str">
            <v>YTS</v>
          </cell>
          <cell r="E79">
            <v>42581.75</v>
          </cell>
          <cell r="F79">
            <v>42582.583333333336</v>
          </cell>
          <cell r="G79">
            <v>20</v>
          </cell>
          <cell r="S79" t="str">
            <v>YTSHT2089 - W32</v>
          </cell>
          <cell r="T79">
            <v>20</v>
          </cell>
        </row>
        <row r="80">
          <cell r="B80" t="str">
            <v>HT2093</v>
          </cell>
          <cell r="C80" t="str">
            <v>777D-FKR</v>
          </cell>
          <cell r="D80" t="str">
            <v>YTS</v>
          </cell>
          <cell r="E80">
            <v>42927.541666666664</v>
          </cell>
          <cell r="F80">
            <v>42928.041666666664</v>
          </cell>
          <cell r="G80">
            <v>12</v>
          </cell>
          <cell r="S80" t="str">
            <v xml:space="preserve"> - </v>
          </cell>
          <cell r="T80">
            <v>0</v>
          </cell>
        </row>
        <row r="81">
          <cell r="S81" t="str">
            <v xml:space="preserve"> - </v>
          </cell>
          <cell r="T81">
            <v>0</v>
          </cell>
        </row>
        <row r="82">
          <cell r="B82" t="str">
            <v>HT2020</v>
          </cell>
          <cell r="C82" t="str">
            <v>777D</v>
          </cell>
          <cell r="D82" t="str">
            <v>YTS</v>
          </cell>
          <cell r="E82">
            <v>42927.75</v>
          </cell>
          <cell r="F82">
            <v>42929.916666666664</v>
          </cell>
          <cell r="G82">
            <v>52</v>
          </cell>
          <cell r="S82" t="str">
            <v xml:space="preserve"> - </v>
          </cell>
          <cell r="T82">
            <v>0</v>
          </cell>
        </row>
        <row r="83">
          <cell r="S83" t="str">
            <v xml:space="preserve"> - </v>
          </cell>
          <cell r="T83">
            <v>0</v>
          </cell>
        </row>
        <row r="84">
          <cell r="S84" t="str">
            <v xml:space="preserve"> - </v>
          </cell>
          <cell r="T84">
            <v>0</v>
          </cell>
        </row>
        <row r="85">
          <cell r="B85" t="str">
            <v>HEC402</v>
          </cell>
          <cell r="C85" t="str">
            <v>390DL</v>
          </cell>
          <cell r="D85" t="str">
            <v>YTS</v>
          </cell>
          <cell r="E85">
            <v>42520.25</v>
          </cell>
          <cell r="F85">
            <v>42521.5</v>
          </cell>
          <cell r="G85">
            <v>30</v>
          </cell>
          <cell r="S85" t="str">
            <v xml:space="preserve"> - </v>
          </cell>
          <cell r="T85">
            <v>0</v>
          </cell>
        </row>
        <row r="86">
          <cell r="S86" t="str">
            <v xml:space="preserve"> - </v>
          </cell>
          <cell r="T86">
            <v>0</v>
          </cell>
        </row>
        <row r="87">
          <cell r="B87" t="str">
            <v>HE4020</v>
          </cell>
          <cell r="C87" t="str">
            <v>390DL</v>
          </cell>
          <cell r="D87" t="str">
            <v>YTS</v>
          </cell>
          <cell r="E87">
            <v>42582.208333333336</v>
          </cell>
          <cell r="F87">
            <v>42583.541666666664</v>
          </cell>
          <cell r="G87">
            <v>32</v>
          </cell>
          <cell r="S87" t="str">
            <v>YTSHE4020 - W32</v>
          </cell>
          <cell r="T87">
            <v>32</v>
          </cell>
        </row>
        <row r="88">
          <cell r="B88" t="str">
            <v>HT2019</v>
          </cell>
          <cell r="C88" t="str">
            <v>777D</v>
          </cell>
          <cell r="D88" t="str">
            <v>YTS</v>
          </cell>
          <cell r="E88">
            <v>42520.541666666664</v>
          </cell>
          <cell r="F88">
            <v>42521.125</v>
          </cell>
          <cell r="G88">
            <v>14</v>
          </cell>
          <cell r="S88" t="str">
            <v xml:space="preserve"> - </v>
          </cell>
          <cell r="T88">
            <v>0</v>
          </cell>
        </row>
        <row r="89">
          <cell r="S89" t="str">
            <v xml:space="preserve"> - </v>
          </cell>
          <cell r="T89">
            <v>0</v>
          </cell>
        </row>
        <row r="90">
          <cell r="S90" t="str">
            <v xml:space="preserve"> - </v>
          </cell>
          <cell r="T90">
            <v>0</v>
          </cell>
        </row>
        <row r="91">
          <cell r="B91" t="str">
            <v>HT2012</v>
          </cell>
          <cell r="C91" t="str">
            <v>777D</v>
          </cell>
          <cell r="D91" t="str">
            <v>YTS</v>
          </cell>
          <cell r="E91">
            <v>42891.25</v>
          </cell>
          <cell r="F91">
            <v>42892.833333333336</v>
          </cell>
          <cell r="G91">
            <v>38</v>
          </cell>
          <cell r="S91" t="str">
            <v xml:space="preserve"> - </v>
          </cell>
          <cell r="T91">
            <v>0</v>
          </cell>
        </row>
        <row r="92">
          <cell r="B92" t="str">
            <v>HT2001</v>
          </cell>
          <cell r="C92" t="str">
            <v>777C</v>
          </cell>
          <cell r="D92" t="str">
            <v>YTS</v>
          </cell>
          <cell r="E92">
            <v>42582.75</v>
          </cell>
          <cell r="F92">
            <v>42584.291666666664</v>
          </cell>
          <cell r="G92">
            <v>37</v>
          </cell>
          <cell r="S92" t="str">
            <v>YTSHT2001 - W32</v>
          </cell>
          <cell r="T92">
            <v>37</v>
          </cell>
        </row>
        <row r="93">
          <cell r="S93" t="str">
            <v xml:space="preserve"> - </v>
          </cell>
          <cell r="T93">
            <v>0</v>
          </cell>
        </row>
        <row r="94">
          <cell r="B94" t="str">
            <v>HT2090</v>
          </cell>
          <cell r="C94" t="str">
            <v>777D-FKR</v>
          </cell>
          <cell r="D94" t="str">
            <v>YTS</v>
          </cell>
          <cell r="E94">
            <v>42891.541666666664</v>
          </cell>
          <cell r="F94">
            <v>42893.125</v>
          </cell>
          <cell r="G94">
            <v>38</v>
          </cell>
          <cell r="S94" t="str">
            <v xml:space="preserve"> - </v>
          </cell>
          <cell r="T94">
            <v>0</v>
          </cell>
        </row>
        <row r="95">
          <cell r="S95" t="str">
            <v xml:space="preserve"> - </v>
          </cell>
          <cell r="T95">
            <v>0</v>
          </cell>
        </row>
        <row r="96">
          <cell r="S96" t="str">
            <v xml:space="preserve"> - </v>
          </cell>
          <cell r="T96">
            <v>0</v>
          </cell>
        </row>
        <row r="97">
          <cell r="B97" t="str">
            <v>HT2083</v>
          </cell>
          <cell r="C97" t="str">
            <v>777D-FKR</v>
          </cell>
          <cell r="D97" t="str">
            <v>YTS</v>
          </cell>
          <cell r="E97">
            <v>42928.208333333336</v>
          </cell>
          <cell r="F97">
            <v>42928.708333333336</v>
          </cell>
          <cell r="G97">
            <v>12</v>
          </cell>
          <cell r="S97" t="str">
            <v xml:space="preserve"> - </v>
          </cell>
          <cell r="T97">
            <v>0</v>
          </cell>
        </row>
        <row r="98">
          <cell r="S98" t="str">
            <v xml:space="preserve"> - </v>
          </cell>
          <cell r="T98">
            <v>0</v>
          </cell>
        </row>
        <row r="99">
          <cell r="S99" t="str">
            <v xml:space="preserve"> - </v>
          </cell>
          <cell r="T99">
            <v>0</v>
          </cell>
        </row>
        <row r="100">
          <cell r="B100" t="str">
            <v>HT2047</v>
          </cell>
          <cell r="C100" t="str">
            <v>777D</v>
          </cell>
          <cell r="D100" t="str">
            <v>YTS</v>
          </cell>
          <cell r="E100">
            <v>42583.208333333336</v>
          </cell>
          <cell r="F100">
            <v>42583.875</v>
          </cell>
          <cell r="G100">
            <v>16</v>
          </cell>
          <cell r="S100" t="str">
            <v>YTSHT2047 - W32</v>
          </cell>
          <cell r="T100">
            <v>16</v>
          </cell>
        </row>
        <row r="101">
          <cell r="B101" t="str">
            <v>HT2030</v>
          </cell>
          <cell r="C101" t="str">
            <v>777D</v>
          </cell>
          <cell r="D101" t="str">
            <v>YTS</v>
          </cell>
          <cell r="E101">
            <v>42521.208333333336</v>
          </cell>
          <cell r="F101">
            <v>42522.041666666664</v>
          </cell>
          <cell r="G101">
            <v>20</v>
          </cell>
          <cell r="S101" t="str">
            <v xml:space="preserve"> - </v>
          </cell>
          <cell r="T101">
            <v>0</v>
          </cell>
        </row>
        <row r="102">
          <cell r="B102" t="str">
            <v>HT4003</v>
          </cell>
          <cell r="C102" t="str">
            <v>785C-APX</v>
          </cell>
          <cell r="D102" t="str">
            <v>YTS</v>
          </cell>
          <cell r="E102">
            <v>42583.541666666664</v>
          </cell>
          <cell r="F102">
            <v>42585.5</v>
          </cell>
          <cell r="G102">
            <v>47</v>
          </cell>
          <cell r="S102" t="str">
            <v>YTSHT4003 - W32</v>
          </cell>
          <cell r="T102">
            <v>47</v>
          </cell>
        </row>
        <row r="103">
          <cell r="S103" t="str">
            <v xml:space="preserve"> - </v>
          </cell>
          <cell r="T103">
            <v>0</v>
          </cell>
        </row>
        <row r="104">
          <cell r="B104" t="str">
            <v>HT2084</v>
          </cell>
          <cell r="C104" t="str">
            <v>777D-FKR</v>
          </cell>
          <cell r="D104" t="str">
            <v>YTS</v>
          </cell>
          <cell r="E104">
            <v>42583.75</v>
          </cell>
          <cell r="F104">
            <v>42584.333333333336</v>
          </cell>
          <cell r="G104">
            <v>14</v>
          </cell>
          <cell r="S104" t="str">
            <v>YTSHT2084 - W32</v>
          </cell>
          <cell r="T104">
            <v>14</v>
          </cell>
        </row>
        <row r="105">
          <cell r="S105" t="str">
            <v xml:space="preserve"> - </v>
          </cell>
          <cell r="T105">
            <v>0</v>
          </cell>
        </row>
        <row r="106">
          <cell r="B106" t="str">
            <v>HT2092</v>
          </cell>
          <cell r="C106" t="str">
            <v>777D-FKR</v>
          </cell>
          <cell r="D106" t="str">
            <v>YTS</v>
          </cell>
          <cell r="E106">
            <v>42584.208333333336</v>
          </cell>
          <cell r="F106">
            <v>42585.958333333336</v>
          </cell>
          <cell r="G106">
            <v>42</v>
          </cell>
          <cell r="S106" t="str">
            <v>YTSHT2092 - W32</v>
          </cell>
          <cell r="T106">
            <v>42</v>
          </cell>
        </row>
        <row r="107">
          <cell r="S107" t="str">
            <v xml:space="preserve"> - </v>
          </cell>
          <cell r="T107">
            <v>0</v>
          </cell>
        </row>
        <row r="108">
          <cell r="S108" t="str">
            <v xml:space="preserve"> - </v>
          </cell>
          <cell r="T108">
            <v>0</v>
          </cell>
        </row>
        <row r="109">
          <cell r="B109" t="str">
            <v>HT2015</v>
          </cell>
          <cell r="C109" t="str">
            <v>777D</v>
          </cell>
          <cell r="D109" t="str">
            <v>YTS</v>
          </cell>
          <cell r="E109">
            <v>42521.541666666664</v>
          </cell>
          <cell r="F109">
            <v>42522.125</v>
          </cell>
          <cell r="G109">
            <v>14</v>
          </cell>
          <cell r="S109" t="str">
            <v xml:space="preserve"> - </v>
          </cell>
          <cell r="T109">
            <v>0</v>
          </cell>
        </row>
        <row r="110">
          <cell r="B110" t="str">
            <v>HT2023</v>
          </cell>
          <cell r="C110" t="str">
            <v>777D</v>
          </cell>
          <cell r="D110" t="str">
            <v>YTS</v>
          </cell>
          <cell r="E110">
            <v>42928.541666666664</v>
          </cell>
          <cell r="F110">
            <v>42929.375</v>
          </cell>
          <cell r="G110">
            <v>20</v>
          </cell>
          <cell r="S110" t="str">
            <v xml:space="preserve"> - </v>
          </cell>
          <cell r="T110">
            <v>0</v>
          </cell>
        </row>
        <row r="111">
          <cell r="B111" t="str">
            <v>HT2082</v>
          </cell>
          <cell r="C111" t="str">
            <v>777D-FKR</v>
          </cell>
          <cell r="D111" t="str">
            <v>YTS</v>
          </cell>
          <cell r="E111">
            <v>42521.75</v>
          </cell>
          <cell r="F111">
            <v>42522.666666666664</v>
          </cell>
          <cell r="G111">
            <v>22</v>
          </cell>
          <cell r="S111" t="str">
            <v xml:space="preserve"> - </v>
          </cell>
          <cell r="T111">
            <v>0</v>
          </cell>
        </row>
        <row r="112">
          <cell r="S112" t="str">
            <v xml:space="preserve"> - </v>
          </cell>
          <cell r="T112">
            <v>0</v>
          </cell>
        </row>
        <row r="113">
          <cell r="B113" t="str">
            <v>HT2046</v>
          </cell>
          <cell r="C113" t="str">
            <v>777D</v>
          </cell>
          <cell r="D113" t="str">
            <v>YTS</v>
          </cell>
          <cell r="E113">
            <v>42928.75</v>
          </cell>
          <cell r="F113">
            <v>42929.25</v>
          </cell>
          <cell r="G113">
            <v>12</v>
          </cell>
          <cell r="S113" t="str">
            <v xml:space="preserve"> - </v>
          </cell>
          <cell r="T113">
            <v>0</v>
          </cell>
        </row>
        <row r="114">
          <cell r="B114" t="str">
            <v>HT2032</v>
          </cell>
          <cell r="C114" t="str">
            <v>777D</v>
          </cell>
          <cell r="D114" t="str">
            <v>YTS</v>
          </cell>
          <cell r="E114">
            <v>42584.541666666664</v>
          </cell>
          <cell r="F114">
            <v>42587.958333333336</v>
          </cell>
          <cell r="G114">
            <v>82</v>
          </cell>
          <cell r="S114" t="str">
            <v>YTSHT2032 - W32</v>
          </cell>
          <cell r="T114">
            <v>82</v>
          </cell>
        </row>
        <row r="115">
          <cell r="B115" t="str">
            <v>HT4001</v>
          </cell>
          <cell r="C115" t="str">
            <v>785C-APX</v>
          </cell>
          <cell r="D115" t="str">
            <v>YTS</v>
          </cell>
          <cell r="E115">
            <v>42929.25</v>
          </cell>
          <cell r="F115">
            <v>42929.375</v>
          </cell>
          <cell r="G115">
            <v>3</v>
          </cell>
          <cell r="S115" t="str">
            <v xml:space="preserve"> - </v>
          </cell>
          <cell r="T115">
            <v>0</v>
          </cell>
        </row>
        <row r="116">
          <cell r="B116" t="str">
            <v>HT2021</v>
          </cell>
          <cell r="C116" t="str">
            <v>777D</v>
          </cell>
          <cell r="D116" t="str">
            <v>YTS</v>
          </cell>
          <cell r="E116">
            <v>42929.541666666664</v>
          </cell>
          <cell r="F116">
            <v>42930.041666666664</v>
          </cell>
          <cell r="G116">
            <v>12</v>
          </cell>
          <cell r="S116" t="str">
            <v xml:space="preserve"> - </v>
          </cell>
          <cell r="T116">
            <v>0</v>
          </cell>
        </row>
        <row r="117">
          <cell r="B117" t="str">
            <v>HT2073</v>
          </cell>
          <cell r="C117" t="str">
            <v>777D-FKR</v>
          </cell>
          <cell r="D117" t="str">
            <v>YTS</v>
          </cell>
          <cell r="E117">
            <v>42522.208333333336</v>
          </cell>
          <cell r="F117">
            <v>42522.791666666664</v>
          </cell>
          <cell r="G117">
            <v>14</v>
          </cell>
          <cell r="S117" t="str">
            <v xml:space="preserve"> - </v>
          </cell>
          <cell r="T117">
            <v>0</v>
          </cell>
        </row>
        <row r="118">
          <cell r="B118" t="str">
            <v>HT2034</v>
          </cell>
          <cell r="C118" t="str">
            <v>777D</v>
          </cell>
          <cell r="D118" t="str">
            <v>YTS</v>
          </cell>
          <cell r="E118">
            <v>42929.75</v>
          </cell>
          <cell r="F118">
            <v>42930.333333333336</v>
          </cell>
          <cell r="G118">
            <v>14</v>
          </cell>
          <cell r="S118" t="str">
            <v xml:space="preserve"> - </v>
          </cell>
          <cell r="T118">
            <v>0</v>
          </cell>
        </row>
        <row r="119">
          <cell r="S119" t="str">
            <v xml:space="preserve"> - </v>
          </cell>
          <cell r="T119">
            <v>0</v>
          </cell>
        </row>
        <row r="120">
          <cell r="S120" t="str">
            <v xml:space="preserve"> - </v>
          </cell>
          <cell r="T120">
            <v>0</v>
          </cell>
        </row>
        <row r="121">
          <cell r="S121" t="str">
            <v xml:space="preserve"> - </v>
          </cell>
          <cell r="T121">
            <v>0</v>
          </cell>
        </row>
        <row r="122">
          <cell r="B122" t="str">
            <v>HT4003</v>
          </cell>
          <cell r="C122" t="str">
            <v>785C-APX</v>
          </cell>
          <cell r="D122" t="str">
            <v>YTS</v>
          </cell>
          <cell r="E122">
            <v>42930.208333333336</v>
          </cell>
          <cell r="F122">
            <v>42931.208333333336</v>
          </cell>
          <cell r="G122">
            <v>24</v>
          </cell>
          <cell r="S122" t="str">
            <v xml:space="preserve"> - </v>
          </cell>
          <cell r="T122">
            <v>0</v>
          </cell>
        </row>
        <row r="123">
          <cell r="S123" t="str">
            <v xml:space="preserve"> - </v>
          </cell>
          <cell r="T123">
            <v>0</v>
          </cell>
        </row>
        <row r="124">
          <cell r="S124" t="str">
            <v xml:space="preserve"> - </v>
          </cell>
          <cell r="T124">
            <v>0</v>
          </cell>
        </row>
        <row r="125">
          <cell r="B125" t="str">
            <v>HT2049</v>
          </cell>
          <cell r="C125" t="str">
            <v>777D</v>
          </cell>
          <cell r="D125" t="str">
            <v>YTS</v>
          </cell>
          <cell r="E125">
            <v>42522.541666666664</v>
          </cell>
          <cell r="F125">
            <v>42523.125</v>
          </cell>
          <cell r="G125">
            <v>14</v>
          </cell>
          <cell r="S125" t="str">
            <v xml:space="preserve"> - </v>
          </cell>
          <cell r="T125">
            <v>0</v>
          </cell>
        </row>
        <row r="126">
          <cell r="S126" t="str">
            <v xml:space="preserve"> - </v>
          </cell>
          <cell r="T126">
            <v>0</v>
          </cell>
        </row>
        <row r="127">
          <cell r="B127" t="str">
            <v>HT2029</v>
          </cell>
          <cell r="C127" t="str">
            <v>777D</v>
          </cell>
          <cell r="D127" t="str">
            <v>YTS</v>
          </cell>
          <cell r="E127">
            <v>42930.541666666664</v>
          </cell>
          <cell r="F127">
            <v>42931.041666666664</v>
          </cell>
          <cell r="G127">
            <v>12</v>
          </cell>
          <cell r="S127" t="str">
            <v xml:space="preserve"> - </v>
          </cell>
          <cell r="T127">
            <v>0</v>
          </cell>
        </row>
        <row r="128">
          <cell r="B128" t="str">
            <v>HT2009</v>
          </cell>
          <cell r="C128" t="str">
            <v>777C</v>
          </cell>
          <cell r="D128" t="str">
            <v>YTS</v>
          </cell>
          <cell r="E128">
            <v>42893.208333333336</v>
          </cell>
          <cell r="F128">
            <v>42894.541666666664</v>
          </cell>
          <cell r="G128">
            <v>32</v>
          </cell>
          <cell r="S128" t="str">
            <v xml:space="preserve"> - </v>
          </cell>
          <cell r="T128">
            <v>0</v>
          </cell>
        </row>
        <row r="129">
          <cell r="B129" t="str">
            <v>HT2018</v>
          </cell>
          <cell r="C129" t="str">
            <v>777D</v>
          </cell>
          <cell r="D129" t="str">
            <v>YTS</v>
          </cell>
          <cell r="E129">
            <v>42930.541666666664</v>
          </cell>
          <cell r="F129">
            <v>42932.958333333336</v>
          </cell>
          <cell r="G129">
            <v>58</v>
          </cell>
          <cell r="S129" t="str">
            <v xml:space="preserve"> - </v>
          </cell>
          <cell r="T129">
            <v>0</v>
          </cell>
        </row>
        <row r="130">
          <cell r="S130" t="str">
            <v xml:space="preserve"> - </v>
          </cell>
          <cell r="T130">
            <v>0</v>
          </cell>
        </row>
        <row r="131">
          <cell r="S131" t="str">
            <v xml:space="preserve"> - </v>
          </cell>
          <cell r="T131">
            <v>0</v>
          </cell>
        </row>
        <row r="132">
          <cell r="S132" t="str">
            <v xml:space="preserve"> - </v>
          </cell>
          <cell r="T132">
            <v>0</v>
          </cell>
        </row>
        <row r="133">
          <cell r="B133" t="str">
            <v>HT2075</v>
          </cell>
          <cell r="C133" t="str">
            <v>777D-FKR</v>
          </cell>
          <cell r="D133" t="str">
            <v>YTS</v>
          </cell>
          <cell r="E133">
            <v>42584.75</v>
          </cell>
          <cell r="F133">
            <v>42585.458333333336</v>
          </cell>
          <cell r="G133">
            <v>17</v>
          </cell>
          <cell r="S133" t="str">
            <v>YTSHT2075 - W32</v>
          </cell>
          <cell r="T133">
            <v>17</v>
          </cell>
        </row>
        <row r="134">
          <cell r="B134" t="str">
            <v>HT2022</v>
          </cell>
          <cell r="C134" t="str">
            <v>777D</v>
          </cell>
          <cell r="D134" t="str">
            <v>YTS</v>
          </cell>
          <cell r="E134">
            <v>42523.208333333336</v>
          </cell>
          <cell r="F134">
            <v>42524.041666666664</v>
          </cell>
          <cell r="G134">
            <v>20</v>
          </cell>
          <cell r="S134" t="str">
            <v xml:space="preserve"> - </v>
          </cell>
          <cell r="T134">
            <v>0</v>
          </cell>
        </row>
        <row r="135">
          <cell r="B135" t="str">
            <v>Friday, July 07, 2017   2:56:57PM</v>
          </cell>
          <cell r="C135" t="str">
            <v>Page -1 of 1</v>
          </cell>
          <cell r="D135" t="str">
            <v>YTS</v>
          </cell>
          <cell r="E135">
            <v>42893.541666666664</v>
          </cell>
          <cell r="F135">
            <v>42893.958333333336</v>
          </cell>
          <cell r="G135">
            <v>10</v>
          </cell>
          <cell r="S135" t="str">
            <v xml:space="preserve"> - </v>
          </cell>
          <cell r="T135">
            <v>0</v>
          </cell>
        </row>
        <row r="136">
          <cell r="S136" t="str">
            <v xml:space="preserve"> - </v>
          </cell>
          <cell r="T136">
            <v>0</v>
          </cell>
        </row>
        <row r="137">
          <cell r="S137" t="str">
            <v xml:space="preserve"> - </v>
          </cell>
          <cell r="T137">
            <v>0</v>
          </cell>
        </row>
        <row r="138">
          <cell r="B138" t="str">
            <v>HT2022</v>
          </cell>
          <cell r="C138" t="str">
            <v>777D</v>
          </cell>
          <cell r="D138" t="str">
            <v>YTS</v>
          </cell>
          <cell r="E138">
            <v>42585.208333333336</v>
          </cell>
          <cell r="F138">
            <v>42585.791666666664</v>
          </cell>
          <cell r="G138">
            <v>14</v>
          </cell>
          <cell r="S138" t="str">
            <v>YTSHT2022 - W32</v>
          </cell>
          <cell r="T138">
            <v>14</v>
          </cell>
        </row>
        <row r="139">
          <cell r="S139" t="str">
            <v xml:space="preserve"> - </v>
          </cell>
          <cell r="T139">
            <v>0</v>
          </cell>
        </row>
        <row r="140">
          <cell r="B140" t="str">
            <v>HT2076</v>
          </cell>
          <cell r="C140" t="str">
            <v>777D-FKR</v>
          </cell>
          <cell r="D140" t="str">
            <v>YTS</v>
          </cell>
          <cell r="E140">
            <v>42894.208333333336</v>
          </cell>
          <cell r="F140">
            <v>42894.666666666664</v>
          </cell>
          <cell r="G140">
            <v>11</v>
          </cell>
          <cell r="S140" t="str">
            <v xml:space="preserve"> - </v>
          </cell>
          <cell r="T140">
            <v>0</v>
          </cell>
        </row>
        <row r="141">
          <cell r="B141" t="str">
            <v>HT2019</v>
          </cell>
          <cell r="C141" t="str">
            <v>777D</v>
          </cell>
          <cell r="D141" t="str">
            <v>YTS</v>
          </cell>
          <cell r="E141">
            <v>42894.25</v>
          </cell>
          <cell r="F141">
            <v>42894.833333333336</v>
          </cell>
          <cell r="G141">
            <v>14</v>
          </cell>
          <cell r="S141" t="str">
            <v xml:space="preserve"> - </v>
          </cell>
          <cell r="T141">
            <v>0</v>
          </cell>
        </row>
        <row r="142">
          <cell r="B142" t="str">
            <v>HT2034</v>
          </cell>
          <cell r="C142" t="str">
            <v>777D</v>
          </cell>
          <cell r="D142" t="str">
            <v>YTS</v>
          </cell>
          <cell r="E142">
            <v>42585.541666666664</v>
          </cell>
          <cell r="F142">
            <v>42586.125</v>
          </cell>
          <cell r="G142">
            <v>14</v>
          </cell>
          <cell r="S142" t="str">
            <v>YTSHT2034 - W32</v>
          </cell>
          <cell r="T142">
            <v>14</v>
          </cell>
        </row>
        <row r="143">
          <cell r="S143" t="str">
            <v xml:space="preserve"> - </v>
          </cell>
          <cell r="T143">
            <v>0</v>
          </cell>
        </row>
        <row r="144">
          <cell r="B144" t="str">
            <v>HT2035</v>
          </cell>
          <cell r="C144" t="str">
            <v>777D</v>
          </cell>
          <cell r="D144" t="str">
            <v>YTS</v>
          </cell>
          <cell r="E144">
            <v>42585.75</v>
          </cell>
          <cell r="F144">
            <v>42586.333333333336</v>
          </cell>
          <cell r="G144">
            <v>14</v>
          </cell>
          <cell r="S144" t="str">
            <v>YTSHT2035 - W32</v>
          </cell>
          <cell r="T144">
            <v>14</v>
          </cell>
        </row>
        <row r="145">
          <cell r="S145" t="str">
            <v xml:space="preserve"> - </v>
          </cell>
          <cell r="T145">
            <v>0</v>
          </cell>
        </row>
        <row r="146">
          <cell r="B146" t="str">
            <v>HT2013</v>
          </cell>
          <cell r="C146" t="str">
            <v>777D</v>
          </cell>
          <cell r="D146" t="str">
            <v>YTS</v>
          </cell>
          <cell r="E146">
            <v>42894.541666666664</v>
          </cell>
          <cell r="F146">
            <v>42895.291666666664</v>
          </cell>
          <cell r="G146">
            <v>18</v>
          </cell>
          <cell r="S146" t="str">
            <v xml:space="preserve"> - </v>
          </cell>
          <cell r="T146">
            <v>0</v>
          </cell>
        </row>
        <row r="147">
          <cell r="B147" t="str">
            <v>HE4023</v>
          </cell>
          <cell r="C147" t="str">
            <v>390DL</v>
          </cell>
          <cell r="D147" t="str">
            <v>YTS</v>
          </cell>
          <cell r="E147">
            <v>42586.25</v>
          </cell>
          <cell r="F147">
            <v>42587.5</v>
          </cell>
          <cell r="G147">
            <v>30</v>
          </cell>
          <cell r="S147" t="str">
            <v>YTSHE4023 - W32</v>
          </cell>
          <cell r="T147">
            <v>30</v>
          </cell>
        </row>
        <row r="148">
          <cell r="S148" t="str">
            <v xml:space="preserve"> - </v>
          </cell>
          <cell r="T148">
            <v>0</v>
          </cell>
        </row>
        <row r="149">
          <cell r="S149" t="str">
            <v xml:space="preserve"> - </v>
          </cell>
          <cell r="T149">
            <v>0</v>
          </cell>
        </row>
        <row r="150">
          <cell r="S150" t="str">
            <v xml:space="preserve"> - </v>
          </cell>
          <cell r="T150">
            <v>0</v>
          </cell>
        </row>
        <row r="151">
          <cell r="B151" t="str">
            <v>HT2042</v>
          </cell>
          <cell r="C151" t="str">
            <v>777D</v>
          </cell>
          <cell r="D151" t="str">
            <v>YTS</v>
          </cell>
          <cell r="E151">
            <v>42586.541666666664</v>
          </cell>
          <cell r="F151">
            <v>42587.208333333336</v>
          </cell>
          <cell r="G151">
            <v>16</v>
          </cell>
          <cell r="S151" t="str">
            <v>YTSHT2042 - W32</v>
          </cell>
          <cell r="T151">
            <v>16</v>
          </cell>
        </row>
        <row r="152">
          <cell r="B152" t="str">
            <v>HT2007</v>
          </cell>
          <cell r="C152" t="str">
            <v>777C</v>
          </cell>
          <cell r="D152" t="str">
            <v>YTS</v>
          </cell>
          <cell r="E152">
            <v>42523.75</v>
          </cell>
          <cell r="F152">
            <v>42525.333333333336</v>
          </cell>
          <cell r="G152">
            <v>38</v>
          </cell>
          <cell r="S152" t="str">
            <v xml:space="preserve"> - </v>
          </cell>
          <cell r="T152">
            <v>0</v>
          </cell>
        </row>
        <row r="153">
          <cell r="S153" t="str">
            <v xml:space="preserve"> - </v>
          </cell>
          <cell r="T153">
            <v>0</v>
          </cell>
        </row>
        <row r="154">
          <cell r="S154" t="str">
            <v xml:space="preserve"> - </v>
          </cell>
          <cell r="T154">
            <v>0</v>
          </cell>
        </row>
        <row r="155">
          <cell r="S155" t="str">
            <v xml:space="preserve"> - </v>
          </cell>
          <cell r="T155">
            <v>0</v>
          </cell>
        </row>
        <row r="156">
          <cell r="B156" t="str">
            <v>HT2037</v>
          </cell>
          <cell r="C156" t="str">
            <v>777D</v>
          </cell>
          <cell r="D156" t="str">
            <v>YTS</v>
          </cell>
          <cell r="E156">
            <v>42586.75</v>
          </cell>
          <cell r="F156">
            <v>42588.291666666664</v>
          </cell>
          <cell r="G156">
            <v>37</v>
          </cell>
          <cell r="S156" t="str">
            <v>YTSHT2037 - W32</v>
          </cell>
          <cell r="T156">
            <v>37</v>
          </cell>
        </row>
        <row r="157">
          <cell r="S157" t="str">
            <v xml:space="preserve"> - </v>
          </cell>
          <cell r="T157">
            <v>0</v>
          </cell>
        </row>
        <row r="158">
          <cell r="S158" t="str">
            <v xml:space="preserve"> - </v>
          </cell>
          <cell r="T158">
            <v>0</v>
          </cell>
        </row>
        <row r="159">
          <cell r="S159" t="str">
            <v xml:space="preserve"> - </v>
          </cell>
          <cell r="T159">
            <v>0</v>
          </cell>
        </row>
        <row r="160">
          <cell r="B160" t="str">
            <v>HT2087</v>
          </cell>
          <cell r="C160" t="str">
            <v>777D-FKR</v>
          </cell>
          <cell r="D160" t="str">
            <v>YTS</v>
          </cell>
          <cell r="E160">
            <v>42524.208333333336</v>
          </cell>
          <cell r="F160">
            <v>42524.708333333336</v>
          </cell>
          <cell r="G160">
            <v>12</v>
          </cell>
          <cell r="S160" t="str">
            <v xml:space="preserve"> - </v>
          </cell>
          <cell r="T160">
            <v>0</v>
          </cell>
        </row>
        <row r="161">
          <cell r="S161" t="str">
            <v xml:space="preserve"> - </v>
          </cell>
          <cell r="T161">
            <v>0</v>
          </cell>
        </row>
        <row r="162">
          <cell r="B162" t="str">
            <v>HT2043</v>
          </cell>
          <cell r="C162" t="str">
            <v>777D</v>
          </cell>
          <cell r="D162" t="str">
            <v>YTS</v>
          </cell>
          <cell r="E162">
            <v>42587.208333333336</v>
          </cell>
          <cell r="F162">
            <v>42587.791666666664</v>
          </cell>
          <cell r="G162">
            <v>14</v>
          </cell>
          <cell r="S162" t="str">
            <v>YTSHT2043 - W32</v>
          </cell>
          <cell r="T162">
            <v>14</v>
          </cell>
        </row>
        <row r="163">
          <cell r="S163" t="str">
            <v xml:space="preserve"> - </v>
          </cell>
          <cell r="T163">
            <v>0</v>
          </cell>
        </row>
        <row r="164">
          <cell r="B164" t="str">
            <v>HT2093</v>
          </cell>
          <cell r="C164" t="str">
            <v>777D-FKR</v>
          </cell>
          <cell r="D164" t="str">
            <v>YTS</v>
          </cell>
          <cell r="E164">
            <v>42895.208333333336</v>
          </cell>
          <cell r="F164">
            <v>42895.666666666664</v>
          </cell>
          <cell r="G164">
            <v>11</v>
          </cell>
          <cell r="S164" t="str">
            <v xml:space="preserve"> - </v>
          </cell>
          <cell r="T164">
            <v>0</v>
          </cell>
        </row>
        <row r="165">
          <cell r="B165" t="str">
            <v>HE4022</v>
          </cell>
          <cell r="C165" t="str">
            <v>390DL</v>
          </cell>
          <cell r="D165" t="str">
            <v>YTS</v>
          </cell>
          <cell r="E165">
            <v>42587.25</v>
          </cell>
          <cell r="F165">
            <v>42588.5</v>
          </cell>
          <cell r="G165">
            <v>30</v>
          </cell>
          <cell r="S165" t="str">
            <v>YTSHE4022 - W32</v>
          </cell>
          <cell r="T165">
            <v>30</v>
          </cell>
        </row>
        <row r="166">
          <cell r="S166" t="str">
            <v xml:space="preserve"> - </v>
          </cell>
          <cell r="T166">
            <v>0</v>
          </cell>
        </row>
        <row r="167">
          <cell r="B167" t="str">
            <v>HT2048</v>
          </cell>
          <cell r="C167" t="str">
            <v>777D</v>
          </cell>
          <cell r="D167" t="str">
            <v>YTS</v>
          </cell>
          <cell r="E167">
            <v>42587.75</v>
          </cell>
          <cell r="F167">
            <v>42588.833333333336</v>
          </cell>
          <cell r="G167">
            <v>26</v>
          </cell>
          <cell r="S167" t="str">
            <v>YTSHT2048 - W32</v>
          </cell>
          <cell r="T167">
            <v>26</v>
          </cell>
        </row>
        <row r="168">
          <cell r="B168" t="str">
            <v>HT2046</v>
          </cell>
          <cell r="C168" t="str">
            <v>777D</v>
          </cell>
          <cell r="D168" t="str">
            <v>YTS</v>
          </cell>
          <cell r="E168">
            <v>42524.75</v>
          </cell>
          <cell r="F168">
            <v>42526.333333333336</v>
          </cell>
          <cell r="G168">
            <v>38</v>
          </cell>
          <cell r="S168" t="str">
            <v xml:space="preserve"> - </v>
          </cell>
          <cell r="T168">
            <v>0</v>
          </cell>
        </row>
        <row r="169">
          <cell r="S169" t="str">
            <v xml:space="preserve"> - </v>
          </cell>
          <cell r="T169">
            <v>0</v>
          </cell>
        </row>
        <row r="170">
          <cell r="S170" t="str">
            <v xml:space="preserve"> - </v>
          </cell>
          <cell r="T170">
            <v>0</v>
          </cell>
        </row>
        <row r="171">
          <cell r="S171" t="str">
            <v xml:space="preserve"> - </v>
          </cell>
          <cell r="T171">
            <v>0</v>
          </cell>
        </row>
        <row r="172">
          <cell r="S172" t="str">
            <v xml:space="preserve"> - </v>
          </cell>
          <cell r="T172">
            <v>0</v>
          </cell>
        </row>
        <row r="173">
          <cell r="S173" t="str">
            <v xml:space="preserve"> - </v>
          </cell>
          <cell r="T173">
            <v>0</v>
          </cell>
        </row>
        <row r="174">
          <cell r="S174" t="str">
            <v xml:space="preserve"> - </v>
          </cell>
          <cell r="T174">
            <v>0</v>
          </cell>
        </row>
        <row r="175">
          <cell r="B175" t="str">
            <v>Friday, July 29, 2016   4:20:46PM</v>
          </cell>
          <cell r="C175" t="str">
            <v>Page -1 of 1</v>
          </cell>
          <cell r="S175" t="str">
            <v xml:space="preserve">Friday, July 29, 2016   4:20:46PM - </v>
          </cell>
          <cell r="T175">
            <v>0</v>
          </cell>
        </row>
        <row r="176">
          <cell r="S176" t="str">
            <v xml:space="preserve"> - </v>
          </cell>
          <cell r="T176">
            <v>0</v>
          </cell>
        </row>
        <row r="177">
          <cell r="S177" t="str">
            <v xml:space="preserve"> - </v>
          </cell>
          <cell r="T177">
            <v>0</v>
          </cell>
        </row>
        <row r="178">
          <cell r="S178" t="str">
            <v xml:space="preserve"> - </v>
          </cell>
          <cell r="T178">
            <v>0</v>
          </cell>
        </row>
        <row r="179">
          <cell r="S179" t="str">
            <v xml:space="preserve"> - </v>
          </cell>
          <cell r="T179">
            <v>0</v>
          </cell>
        </row>
        <row r="180">
          <cell r="B180" t="str">
            <v>HT2042</v>
          </cell>
          <cell r="C180" t="str">
            <v>777D</v>
          </cell>
          <cell r="D180" t="str">
            <v>YTS</v>
          </cell>
          <cell r="E180">
            <v>42895.541666666664</v>
          </cell>
          <cell r="F180">
            <v>42897.291666666664</v>
          </cell>
          <cell r="G180">
            <v>42</v>
          </cell>
          <cell r="S180" t="str">
            <v xml:space="preserve"> - </v>
          </cell>
          <cell r="T180">
            <v>0</v>
          </cell>
        </row>
        <row r="181">
          <cell r="S181" t="str">
            <v xml:space="preserve"> - </v>
          </cell>
          <cell r="T181">
            <v>0</v>
          </cell>
        </row>
        <row r="182">
          <cell r="S182" t="str">
            <v xml:space="preserve"> - </v>
          </cell>
          <cell r="T182">
            <v>0</v>
          </cell>
        </row>
        <row r="183">
          <cell r="B183" t="str">
            <v>HT2073</v>
          </cell>
          <cell r="C183" t="str">
            <v>777D-FKR</v>
          </cell>
          <cell r="D183" t="str">
            <v>YTS</v>
          </cell>
          <cell r="E183">
            <v>42895.75</v>
          </cell>
          <cell r="F183">
            <v>42896.333333333336</v>
          </cell>
          <cell r="G183">
            <v>14</v>
          </cell>
          <cell r="S183" t="str">
            <v xml:space="preserve"> - </v>
          </cell>
          <cell r="T183">
            <v>0</v>
          </cell>
        </row>
        <row r="184">
          <cell r="S184" t="str">
            <v xml:space="preserve"> - </v>
          </cell>
          <cell r="T184">
            <v>0</v>
          </cell>
        </row>
        <row r="185">
          <cell r="S185" t="str">
            <v xml:space="preserve"> - </v>
          </cell>
          <cell r="T185">
            <v>0</v>
          </cell>
        </row>
        <row r="186">
          <cell r="S186" t="str">
            <v xml:space="preserve"> - </v>
          </cell>
          <cell r="T186">
            <v>0</v>
          </cell>
        </row>
        <row r="187">
          <cell r="B187" t="str">
            <v>Friday, June 02, 2017  11:28:01AM</v>
          </cell>
          <cell r="C187" t="str">
            <v>Page -1 of 1</v>
          </cell>
          <cell r="S187" t="str">
            <v xml:space="preserve"> - </v>
          </cell>
          <cell r="T187">
            <v>0</v>
          </cell>
        </row>
        <row r="188">
          <cell r="S188" t="str">
            <v xml:space="preserve"> - </v>
          </cell>
          <cell r="T188">
            <v>0</v>
          </cell>
        </row>
        <row r="189">
          <cell r="S189" t="str">
            <v xml:space="preserve"> - </v>
          </cell>
          <cell r="T189">
            <v>0</v>
          </cell>
        </row>
        <row r="190">
          <cell r="S190" t="str">
            <v xml:space="preserve"> - </v>
          </cell>
          <cell r="T190">
            <v>0</v>
          </cell>
        </row>
        <row r="191">
          <cell r="S191" t="str">
            <v xml:space="preserve"> - </v>
          </cell>
          <cell r="T191">
            <v>0</v>
          </cell>
        </row>
        <row r="192">
          <cell r="S192" t="str">
            <v xml:space="preserve"> - </v>
          </cell>
          <cell r="T192">
            <v>0</v>
          </cell>
        </row>
        <row r="193">
          <cell r="S193" t="str">
            <v xml:space="preserve"> - </v>
          </cell>
          <cell r="T193">
            <v>0</v>
          </cell>
        </row>
        <row r="194">
          <cell r="S194" t="str">
            <v xml:space="preserve"> - </v>
          </cell>
          <cell r="T194">
            <v>0</v>
          </cell>
        </row>
        <row r="195">
          <cell r="S195" t="str">
            <v xml:space="preserve"> - </v>
          </cell>
          <cell r="T195">
            <v>0</v>
          </cell>
        </row>
        <row r="196">
          <cell r="S196" t="str">
            <v xml:space="preserve"> - </v>
          </cell>
          <cell r="T196">
            <v>0</v>
          </cell>
        </row>
        <row r="197">
          <cell r="S197" t="str">
            <v xml:space="preserve"> - </v>
          </cell>
          <cell r="T197">
            <v>0</v>
          </cell>
        </row>
        <row r="198">
          <cell r="S198" t="str">
            <v xml:space="preserve"> - </v>
          </cell>
          <cell r="T198">
            <v>0</v>
          </cell>
        </row>
        <row r="199">
          <cell r="S199" t="str">
            <v xml:space="preserve"> - </v>
          </cell>
          <cell r="T199">
            <v>0</v>
          </cell>
        </row>
        <row r="200">
          <cell r="S200" t="str">
            <v xml:space="preserve"> - </v>
          </cell>
          <cell r="T200">
            <v>0</v>
          </cell>
        </row>
        <row r="201">
          <cell r="S201" t="str">
            <v xml:space="preserve"> - </v>
          </cell>
          <cell r="T201">
            <v>0</v>
          </cell>
        </row>
        <row r="202">
          <cell r="S202" t="str">
            <v xml:space="preserve"> - </v>
          </cell>
          <cell r="T202">
            <v>0</v>
          </cell>
        </row>
        <row r="203">
          <cell r="S203" t="str">
            <v xml:space="preserve"> - </v>
          </cell>
          <cell r="T203">
            <v>0</v>
          </cell>
        </row>
        <row r="204">
          <cell r="S204" t="str">
            <v xml:space="preserve"> - </v>
          </cell>
          <cell r="T204">
            <v>0</v>
          </cell>
        </row>
        <row r="205">
          <cell r="S205" t="str">
            <v xml:space="preserve"> - </v>
          </cell>
          <cell r="T205">
            <v>0</v>
          </cell>
        </row>
        <row r="206">
          <cell r="S206" t="str">
            <v xml:space="preserve"> - </v>
          </cell>
          <cell r="T206">
            <v>0</v>
          </cell>
        </row>
        <row r="207">
          <cell r="S207" t="str">
            <v xml:space="preserve"> - </v>
          </cell>
          <cell r="T207">
            <v>0</v>
          </cell>
        </row>
        <row r="208">
          <cell r="S208" t="str">
            <v xml:space="preserve"> - </v>
          </cell>
          <cell r="T208">
            <v>0</v>
          </cell>
        </row>
        <row r="209">
          <cell r="S209" t="str">
            <v xml:space="preserve"> - </v>
          </cell>
          <cell r="T209">
            <v>0</v>
          </cell>
        </row>
        <row r="210">
          <cell r="S210" t="str">
            <v xml:space="preserve"> - </v>
          </cell>
          <cell r="T210">
            <v>0</v>
          </cell>
        </row>
        <row r="211">
          <cell r="S211" t="str">
            <v xml:space="preserve"> - </v>
          </cell>
          <cell r="T211">
            <v>0</v>
          </cell>
        </row>
        <row r="212">
          <cell r="S212" t="str">
            <v xml:space="preserve"> - </v>
          </cell>
          <cell r="T212">
            <v>0</v>
          </cell>
        </row>
        <row r="213">
          <cell r="S213" t="str">
            <v xml:space="preserve"> - </v>
          </cell>
          <cell r="T213">
            <v>0</v>
          </cell>
        </row>
        <row r="214">
          <cell r="S214" t="str">
            <v xml:space="preserve"> - </v>
          </cell>
          <cell r="T214">
            <v>0</v>
          </cell>
        </row>
        <row r="215">
          <cell r="S215" t="str">
            <v xml:space="preserve"> - </v>
          </cell>
          <cell r="T215">
            <v>0</v>
          </cell>
        </row>
        <row r="216">
          <cell r="S216" t="str">
            <v xml:space="preserve"> - </v>
          </cell>
          <cell r="T216">
            <v>0</v>
          </cell>
        </row>
        <row r="217">
          <cell r="S217" t="str">
            <v xml:space="preserve"> - </v>
          </cell>
          <cell r="T217">
            <v>0</v>
          </cell>
        </row>
        <row r="218">
          <cell r="S218" t="str">
            <v xml:space="preserve"> - </v>
          </cell>
          <cell r="T218">
            <v>0</v>
          </cell>
        </row>
        <row r="219">
          <cell r="S219" t="str">
            <v xml:space="preserve"> - </v>
          </cell>
          <cell r="T219">
            <v>0</v>
          </cell>
        </row>
        <row r="220">
          <cell r="S220" t="str">
            <v xml:space="preserve"> - </v>
          </cell>
          <cell r="T220">
            <v>0</v>
          </cell>
        </row>
        <row r="221">
          <cell r="S221" t="str">
            <v xml:space="preserve"> - </v>
          </cell>
          <cell r="T221">
            <v>0</v>
          </cell>
        </row>
        <row r="222">
          <cell r="S222" t="str">
            <v xml:space="preserve"> - </v>
          </cell>
          <cell r="T222">
            <v>0</v>
          </cell>
        </row>
        <row r="223">
          <cell r="S223" t="str">
            <v xml:space="preserve"> - </v>
          </cell>
          <cell r="T223">
            <v>0</v>
          </cell>
        </row>
        <row r="224">
          <cell r="S224" t="str">
            <v xml:space="preserve"> - </v>
          </cell>
          <cell r="T224">
            <v>0</v>
          </cell>
        </row>
        <row r="225">
          <cell r="S225" t="str">
            <v xml:space="preserve"> - </v>
          </cell>
          <cell r="T225">
            <v>0</v>
          </cell>
        </row>
        <row r="226">
          <cell r="S226" t="str">
            <v xml:space="preserve"> - </v>
          </cell>
          <cell r="T226">
            <v>0</v>
          </cell>
        </row>
        <row r="227">
          <cell r="S227" t="str">
            <v xml:space="preserve"> - </v>
          </cell>
          <cell r="T227">
            <v>0</v>
          </cell>
        </row>
        <row r="228">
          <cell r="S228" t="str">
            <v xml:space="preserve"> - </v>
          </cell>
          <cell r="T228">
            <v>0</v>
          </cell>
        </row>
        <row r="229">
          <cell r="S229" t="str">
            <v xml:space="preserve"> - </v>
          </cell>
          <cell r="T229">
            <v>0</v>
          </cell>
        </row>
        <row r="230">
          <cell r="S230" t="str">
            <v xml:space="preserve"> - </v>
          </cell>
          <cell r="T230">
            <v>0</v>
          </cell>
        </row>
        <row r="231">
          <cell r="S231" t="str">
            <v xml:space="preserve"> - </v>
          </cell>
          <cell r="T231">
            <v>0</v>
          </cell>
        </row>
        <row r="232">
          <cell r="S232" t="str">
            <v xml:space="preserve"> - </v>
          </cell>
          <cell r="T232">
            <v>0</v>
          </cell>
        </row>
        <row r="233">
          <cell r="S233" t="str">
            <v xml:space="preserve"> - </v>
          </cell>
          <cell r="T233">
            <v>0</v>
          </cell>
        </row>
        <row r="234">
          <cell r="S234" t="str">
            <v xml:space="preserve"> - </v>
          </cell>
          <cell r="T234">
            <v>0</v>
          </cell>
        </row>
        <row r="235">
          <cell r="S235" t="str">
            <v xml:space="preserve"> - </v>
          </cell>
          <cell r="T235">
            <v>0</v>
          </cell>
        </row>
        <row r="236">
          <cell r="S236" t="str">
            <v xml:space="preserve"> - </v>
          </cell>
          <cell r="T236">
            <v>0</v>
          </cell>
        </row>
        <row r="237">
          <cell r="S237" t="str">
            <v xml:space="preserve"> - </v>
          </cell>
          <cell r="T237">
            <v>0</v>
          </cell>
        </row>
        <row r="238">
          <cell r="S238" t="str">
            <v xml:space="preserve"> - </v>
          </cell>
          <cell r="T238">
            <v>0</v>
          </cell>
        </row>
        <row r="239">
          <cell r="S239" t="str">
            <v xml:space="preserve"> - </v>
          </cell>
          <cell r="T239">
            <v>0</v>
          </cell>
        </row>
        <row r="240">
          <cell r="S240" t="str">
            <v xml:space="preserve"> - </v>
          </cell>
          <cell r="T240">
            <v>0</v>
          </cell>
        </row>
        <row r="241">
          <cell r="S241" t="str">
            <v xml:space="preserve"> - </v>
          </cell>
          <cell r="T241">
            <v>0</v>
          </cell>
        </row>
        <row r="242">
          <cell r="S242" t="str">
            <v xml:space="preserve"> - </v>
          </cell>
          <cell r="T242">
            <v>0</v>
          </cell>
        </row>
        <row r="243">
          <cell r="S243" t="str">
            <v xml:space="preserve"> - </v>
          </cell>
          <cell r="T243">
            <v>0</v>
          </cell>
        </row>
        <row r="244">
          <cell r="S244" t="str">
            <v xml:space="preserve"> - </v>
          </cell>
          <cell r="T244">
            <v>0</v>
          </cell>
        </row>
        <row r="245">
          <cell r="S245" t="str">
            <v xml:space="preserve"> - </v>
          </cell>
          <cell r="T245">
            <v>0</v>
          </cell>
        </row>
        <row r="246">
          <cell r="S246" t="str">
            <v xml:space="preserve"> - </v>
          </cell>
          <cell r="T246">
            <v>0</v>
          </cell>
        </row>
        <row r="247">
          <cell r="S247" t="str">
            <v xml:space="preserve"> - </v>
          </cell>
          <cell r="T247">
            <v>0</v>
          </cell>
        </row>
        <row r="248">
          <cell r="S248" t="str">
            <v xml:space="preserve"> - </v>
          </cell>
          <cell r="T248">
            <v>0</v>
          </cell>
        </row>
        <row r="249">
          <cell r="S249" t="str">
            <v xml:space="preserve"> - </v>
          </cell>
          <cell r="T249">
            <v>0</v>
          </cell>
        </row>
        <row r="250">
          <cell r="S250" t="str">
            <v xml:space="preserve"> - </v>
          </cell>
          <cell r="T250">
            <v>0</v>
          </cell>
        </row>
        <row r="251">
          <cell r="S251" t="str">
            <v xml:space="preserve"> - </v>
          </cell>
          <cell r="T251">
            <v>0</v>
          </cell>
        </row>
        <row r="252">
          <cell r="S252" t="str">
            <v xml:space="preserve"> - </v>
          </cell>
          <cell r="T252">
            <v>0</v>
          </cell>
        </row>
        <row r="253">
          <cell r="S253" t="str">
            <v xml:space="preserve"> - </v>
          </cell>
          <cell r="T253">
            <v>0</v>
          </cell>
        </row>
        <row r="254">
          <cell r="S254" t="str">
            <v xml:space="preserve"> - </v>
          </cell>
          <cell r="T254">
            <v>0</v>
          </cell>
        </row>
        <row r="255">
          <cell r="S255" t="str">
            <v xml:space="preserve"> - </v>
          </cell>
          <cell r="T255">
            <v>0</v>
          </cell>
        </row>
        <row r="256">
          <cell r="S256" t="str">
            <v xml:space="preserve"> - </v>
          </cell>
          <cell r="T256">
            <v>0</v>
          </cell>
        </row>
        <row r="257">
          <cell r="S257" t="str">
            <v xml:space="preserve"> - </v>
          </cell>
          <cell r="T257">
            <v>0</v>
          </cell>
        </row>
        <row r="258">
          <cell r="S258" t="str">
            <v xml:space="preserve"> - </v>
          </cell>
          <cell r="T258">
            <v>0</v>
          </cell>
        </row>
        <row r="259">
          <cell r="S259" t="str">
            <v xml:space="preserve"> - </v>
          </cell>
          <cell r="T259">
            <v>0</v>
          </cell>
        </row>
        <row r="260">
          <cell r="S260" t="str">
            <v xml:space="preserve"> - </v>
          </cell>
          <cell r="T260">
            <v>0</v>
          </cell>
        </row>
        <row r="261">
          <cell r="S261" t="str">
            <v xml:space="preserve"> - </v>
          </cell>
          <cell r="T261">
            <v>0</v>
          </cell>
        </row>
        <row r="262">
          <cell r="S262" t="str">
            <v xml:space="preserve"> - </v>
          </cell>
          <cell r="T262">
            <v>0</v>
          </cell>
        </row>
        <row r="263">
          <cell r="S263" t="str">
            <v xml:space="preserve"> - </v>
          </cell>
          <cell r="T263">
            <v>0</v>
          </cell>
        </row>
        <row r="264">
          <cell r="S264" t="str">
            <v xml:space="preserve"> - </v>
          </cell>
          <cell r="T264">
            <v>0</v>
          </cell>
        </row>
        <row r="265">
          <cell r="S265" t="str">
            <v xml:space="preserve"> - </v>
          </cell>
          <cell r="T265">
            <v>0</v>
          </cell>
        </row>
        <row r="266">
          <cell r="S266" t="str">
            <v xml:space="preserve"> - </v>
          </cell>
          <cell r="T266">
            <v>0</v>
          </cell>
        </row>
        <row r="267">
          <cell r="S267" t="str">
            <v xml:space="preserve"> - </v>
          </cell>
          <cell r="T267">
            <v>0</v>
          </cell>
        </row>
        <row r="268">
          <cell r="S268" t="str">
            <v xml:space="preserve"> - </v>
          </cell>
          <cell r="T268">
            <v>0</v>
          </cell>
        </row>
        <row r="269">
          <cell r="S269" t="str">
            <v xml:space="preserve"> - </v>
          </cell>
          <cell r="T269">
            <v>0</v>
          </cell>
        </row>
        <row r="270">
          <cell r="S270" t="str">
            <v xml:space="preserve"> - </v>
          </cell>
          <cell r="T270">
            <v>0</v>
          </cell>
        </row>
        <row r="271">
          <cell r="S271" t="str">
            <v xml:space="preserve"> - </v>
          </cell>
          <cell r="T271">
            <v>0</v>
          </cell>
        </row>
        <row r="272">
          <cell r="S272" t="str">
            <v xml:space="preserve"> - </v>
          </cell>
          <cell r="T272">
            <v>0</v>
          </cell>
        </row>
        <row r="273">
          <cell r="S273" t="str">
            <v xml:space="preserve"> - </v>
          </cell>
          <cell r="T273">
            <v>0</v>
          </cell>
        </row>
        <row r="274">
          <cell r="S274" t="str">
            <v xml:space="preserve"> - </v>
          </cell>
          <cell r="T274">
            <v>0</v>
          </cell>
        </row>
        <row r="275">
          <cell r="S275" t="str">
            <v xml:space="preserve"> - </v>
          </cell>
          <cell r="T275">
            <v>0</v>
          </cell>
        </row>
        <row r="276">
          <cell r="S276" t="str">
            <v xml:space="preserve"> - </v>
          </cell>
          <cell r="T276">
            <v>0</v>
          </cell>
        </row>
        <row r="277">
          <cell r="S277" t="str">
            <v xml:space="preserve"> - </v>
          </cell>
          <cell r="T277">
            <v>0</v>
          </cell>
        </row>
        <row r="278">
          <cell r="S278" t="str">
            <v xml:space="preserve"> - </v>
          </cell>
          <cell r="T278">
            <v>0</v>
          </cell>
        </row>
        <row r="279">
          <cell r="S279" t="str">
            <v xml:space="preserve"> - </v>
          </cell>
          <cell r="T279">
            <v>0</v>
          </cell>
        </row>
        <row r="280">
          <cell r="S280" t="str">
            <v xml:space="preserve"> - </v>
          </cell>
          <cell r="T280">
            <v>0</v>
          </cell>
        </row>
        <row r="281">
          <cell r="S281" t="str">
            <v xml:space="preserve"> - </v>
          </cell>
          <cell r="T281">
            <v>0</v>
          </cell>
        </row>
        <row r="282">
          <cell r="S282" t="str">
            <v xml:space="preserve"> - </v>
          </cell>
          <cell r="T282">
            <v>0</v>
          </cell>
        </row>
        <row r="283">
          <cell r="S283" t="str">
            <v xml:space="preserve"> - </v>
          </cell>
          <cell r="T283">
            <v>0</v>
          </cell>
        </row>
        <row r="284">
          <cell r="S284" t="str">
            <v xml:space="preserve"> - </v>
          </cell>
          <cell r="T284">
            <v>0</v>
          </cell>
        </row>
        <row r="285">
          <cell r="S285" t="str">
            <v xml:space="preserve"> - </v>
          </cell>
          <cell r="T285">
            <v>0</v>
          </cell>
        </row>
        <row r="286">
          <cell r="S286" t="str">
            <v xml:space="preserve"> - </v>
          </cell>
          <cell r="T286">
            <v>0</v>
          </cell>
        </row>
        <row r="287">
          <cell r="S287" t="str">
            <v xml:space="preserve"> - </v>
          </cell>
          <cell r="T287">
            <v>0</v>
          </cell>
        </row>
        <row r="288">
          <cell r="S288" t="str">
            <v xml:space="preserve"> - </v>
          </cell>
          <cell r="T288">
            <v>0</v>
          </cell>
        </row>
        <row r="289">
          <cell r="S289" t="str">
            <v xml:space="preserve"> - </v>
          </cell>
          <cell r="T289">
            <v>0</v>
          </cell>
        </row>
        <row r="290">
          <cell r="S290" t="str">
            <v xml:space="preserve"> - </v>
          </cell>
          <cell r="T290">
            <v>0</v>
          </cell>
        </row>
        <row r="291">
          <cell r="S291" t="str">
            <v xml:space="preserve"> - </v>
          </cell>
          <cell r="T291">
            <v>0</v>
          </cell>
        </row>
        <row r="292">
          <cell r="S292" t="str">
            <v xml:space="preserve"> - </v>
          </cell>
          <cell r="T292">
            <v>0</v>
          </cell>
        </row>
        <row r="293">
          <cell r="S293" t="str">
            <v xml:space="preserve"> - </v>
          </cell>
          <cell r="T293">
            <v>0</v>
          </cell>
        </row>
        <row r="294">
          <cell r="S294" t="str">
            <v xml:space="preserve"> - </v>
          </cell>
          <cell r="T294">
            <v>0</v>
          </cell>
        </row>
        <row r="295">
          <cell r="S295" t="str">
            <v xml:space="preserve"> - </v>
          </cell>
          <cell r="T295">
            <v>0</v>
          </cell>
        </row>
        <row r="296">
          <cell r="S296" t="str">
            <v xml:space="preserve"> - </v>
          </cell>
          <cell r="T296">
            <v>0</v>
          </cell>
        </row>
        <row r="297">
          <cell r="S297" t="str">
            <v xml:space="preserve"> - </v>
          </cell>
          <cell r="T297">
            <v>0</v>
          </cell>
        </row>
        <row r="298">
          <cell r="S298" t="str">
            <v xml:space="preserve"> - </v>
          </cell>
          <cell r="T298">
            <v>0</v>
          </cell>
        </row>
        <row r="299">
          <cell r="S299" t="str">
            <v xml:space="preserve"> - </v>
          </cell>
          <cell r="T299">
            <v>0</v>
          </cell>
        </row>
        <row r="300">
          <cell r="S300" t="str">
            <v xml:space="preserve"> - </v>
          </cell>
          <cell r="T300">
            <v>0</v>
          </cell>
        </row>
        <row r="301">
          <cell r="S301" t="str">
            <v xml:space="preserve"> - </v>
          </cell>
          <cell r="T301">
            <v>0</v>
          </cell>
        </row>
        <row r="302">
          <cell r="S302" t="str">
            <v xml:space="preserve"> - </v>
          </cell>
          <cell r="T302">
            <v>0</v>
          </cell>
        </row>
        <row r="303">
          <cell r="S303" t="str">
            <v xml:space="preserve"> - </v>
          </cell>
          <cell r="T303">
            <v>0</v>
          </cell>
        </row>
        <row r="304">
          <cell r="S304" t="str">
            <v xml:space="preserve"> - </v>
          </cell>
          <cell r="T304">
            <v>0</v>
          </cell>
        </row>
        <row r="305">
          <cell r="S305" t="str">
            <v xml:space="preserve"> - </v>
          </cell>
          <cell r="T305">
            <v>0</v>
          </cell>
        </row>
        <row r="306">
          <cell r="S306" t="str">
            <v xml:space="preserve"> - </v>
          </cell>
          <cell r="T306">
            <v>0</v>
          </cell>
        </row>
        <row r="307">
          <cell r="S307" t="str">
            <v xml:space="preserve"> - </v>
          </cell>
          <cell r="T307">
            <v>0</v>
          </cell>
        </row>
        <row r="308">
          <cell r="S308" t="str">
            <v xml:space="preserve"> - </v>
          </cell>
          <cell r="T308">
            <v>0</v>
          </cell>
        </row>
        <row r="309">
          <cell r="S309" t="str">
            <v xml:space="preserve"> - </v>
          </cell>
          <cell r="T309">
            <v>0</v>
          </cell>
        </row>
        <row r="310">
          <cell r="S310" t="str">
            <v xml:space="preserve"> - </v>
          </cell>
          <cell r="T310">
            <v>0</v>
          </cell>
        </row>
        <row r="311">
          <cell r="S311" t="str">
            <v xml:space="preserve"> - </v>
          </cell>
          <cell r="T311">
            <v>0</v>
          </cell>
        </row>
        <row r="312">
          <cell r="S312" t="str">
            <v xml:space="preserve"> - </v>
          </cell>
          <cell r="T312">
            <v>0</v>
          </cell>
        </row>
        <row r="313">
          <cell r="S313" t="str">
            <v xml:space="preserve"> - </v>
          </cell>
          <cell r="T313">
            <v>0</v>
          </cell>
        </row>
        <row r="314">
          <cell r="S314" t="str">
            <v xml:space="preserve"> - </v>
          </cell>
          <cell r="T314">
            <v>0</v>
          </cell>
        </row>
        <row r="315">
          <cell r="S315" t="str">
            <v xml:space="preserve"> - </v>
          </cell>
          <cell r="T315">
            <v>0</v>
          </cell>
        </row>
        <row r="316">
          <cell r="S316" t="str">
            <v xml:space="preserve"> - </v>
          </cell>
          <cell r="T316">
            <v>0</v>
          </cell>
        </row>
        <row r="317">
          <cell r="S317" t="str">
            <v xml:space="preserve"> - </v>
          </cell>
          <cell r="T317">
            <v>0</v>
          </cell>
        </row>
        <row r="318">
          <cell r="S318" t="str">
            <v xml:space="preserve"> - </v>
          </cell>
          <cell r="T318">
            <v>0</v>
          </cell>
        </row>
        <row r="319">
          <cell r="S319" t="str">
            <v xml:space="preserve"> - </v>
          </cell>
          <cell r="T319">
            <v>0</v>
          </cell>
        </row>
        <row r="320">
          <cell r="S320" t="str">
            <v xml:space="preserve"> - </v>
          </cell>
          <cell r="T320">
            <v>0</v>
          </cell>
        </row>
        <row r="321">
          <cell r="S321" t="str">
            <v xml:space="preserve"> - </v>
          </cell>
          <cell r="T321">
            <v>0</v>
          </cell>
        </row>
        <row r="322">
          <cell r="S322" t="str">
            <v xml:space="preserve"> - </v>
          </cell>
          <cell r="T322">
            <v>0</v>
          </cell>
        </row>
        <row r="323">
          <cell r="S323" t="str">
            <v xml:space="preserve"> - </v>
          </cell>
          <cell r="T323">
            <v>0</v>
          </cell>
        </row>
        <row r="324">
          <cell r="S324" t="str">
            <v xml:space="preserve"> - </v>
          </cell>
          <cell r="T324">
            <v>0</v>
          </cell>
        </row>
        <row r="325">
          <cell r="S325" t="str">
            <v xml:space="preserve"> - </v>
          </cell>
          <cell r="T325">
            <v>0</v>
          </cell>
        </row>
        <row r="326">
          <cell r="S326" t="str">
            <v xml:space="preserve"> - </v>
          </cell>
          <cell r="T326">
            <v>0</v>
          </cell>
        </row>
        <row r="327">
          <cell r="S327" t="str">
            <v xml:space="preserve"> - </v>
          </cell>
          <cell r="T327">
            <v>0</v>
          </cell>
        </row>
        <row r="328">
          <cell r="S328" t="str">
            <v xml:space="preserve"> - </v>
          </cell>
          <cell r="T328">
            <v>0</v>
          </cell>
        </row>
        <row r="329">
          <cell r="S329" t="str">
            <v xml:space="preserve"> - </v>
          </cell>
          <cell r="T329">
            <v>0</v>
          </cell>
        </row>
        <row r="330">
          <cell r="S330" t="str">
            <v xml:space="preserve"> - </v>
          </cell>
          <cell r="T330">
            <v>0</v>
          </cell>
        </row>
        <row r="331">
          <cell r="S331" t="str">
            <v xml:space="preserve"> - </v>
          </cell>
          <cell r="T331">
            <v>0</v>
          </cell>
        </row>
        <row r="332">
          <cell r="S332" t="str">
            <v xml:space="preserve"> - </v>
          </cell>
          <cell r="T332">
            <v>0</v>
          </cell>
        </row>
        <row r="333">
          <cell r="S333" t="str">
            <v xml:space="preserve"> - </v>
          </cell>
          <cell r="T333">
            <v>0</v>
          </cell>
        </row>
        <row r="334">
          <cell r="S334" t="str">
            <v xml:space="preserve"> - </v>
          </cell>
          <cell r="T334">
            <v>0</v>
          </cell>
        </row>
        <row r="335">
          <cell r="S335" t="str">
            <v xml:space="preserve"> - </v>
          </cell>
          <cell r="T335">
            <v>0</v>
          </cell>
        </row>
        <row r="336">
          <cell r="S336" t="str">
            <v xml:space="preserve"> - </v>
          </cell>
          <cell r="T336">
            <v>0</v>
          </cell>
        </row>
        <row r="337">
          <cell r="S337" t="str">
            <v xml:space="preserve"> - </v>
          </cell>
          <cell r="T337">
            <v>0</v>
          </cell>
        </row>
        <row r="338">
          <cell r="S338" t="str">
            <v xml:space="preserve"> - </v>
          </cell>
          <cell r="T338">
            <v>0</v>
          </cell>
        </row>
        <row r="339">
          <cell r="S339" t="str">
            <v xml:space="preserve"> - </v>
          </cell>
          <cell r="T339">
            <v>0</v>
          </cell>
        </row>
        <row r="340">
          <cell r="S340" t="str">
            <v xml:space="preserve"> - </v>
          </cell>
          <cell r="T340">
            <v>0</v>
          </cell>
        </row>
        <row r="341">
          <cell r="S341" t="str">
            <v xml:space="preserve"> - </v>
          </cell>
          <cell r="T341">
            <v>0</v>
          </cell>
        </row>
        <row r="342">
          <cell r="S342" t="str">
            <v xml:space="preserve"> - </v>
          </cell>
          <cell r="T342">
            <v>0</v>
          </cell>
        </row>
        <row r="343">
          <cell r="S343" t="str">
            <v xml:space="preserve"> - </v>
          </cell>
          <cell r="T343">
            <v>0</v>
          </cell>
        </row>
        <row r="344">
          <cell r="S344" t="str">
            <v xml:space="preserve"> - </v>
          </cell>
          <cell r="T344">
            <v>0</v>
          </cell>
        </row>
        <row r="345">
          <cell r="S345" t="str">
            <v xml:space="preserve"> - </v>
          </cell>
          <cell r="T345">
            <v>0</v>
          </cell>
        </row>
        <row r="346">
          <cell r="S346" t="str">
            <v xml:space="preserve"> - </v>
          </cell>
          <cell r="T346">
            <v>0</v>
          </cell>
        </row>
        <row r="347">
          <cell r="S347" t="str">
            <v xml:space="preserve"> - </v>
          </cell>
          <cell r="T347">
            <v>0</v>
          </cell>
        </row>
        <row r="348">
          <cell r="S348" t="str">
            <v xml:space="preserve"> - </v>
          </cell>
          <cell r="T348">
            <v>0</v>
          </cell>
        </row>
        <row r="349">
          <cell r="S349" t="str">
            <v xml:space="preserve"> - </v>
          </cell>
          <cell r="T349">
            <v>0</v>
          </cell>
        </row>
        <row r="350">
          <cell r="S350" t="str">
            <v xml:space="preserve"> - </v>
          </cell>
          <cell r="T350">
            <v>0</v>
          </cell>
        </row>
        <row r="351">
          <cell r="S351" t="str">
            <v xml:space="preserve"> - </v>
          </cell>
          <cell r="T351">
            <v>0</v>
          </cell>
        </row>
        <row r="352">
          <cell r="S352" t="str">
            <v xml:space="preserve"> - </v>
          </cell>
          <cell r="T352">
            <v>0</v>
          </cell>
        </row>
        <row r="353">
          <cell r="S353" t="str">
            <v xml:space="preserve"> - </v>
          </cell>
          <cell r="T353">
            <v>0</v>
          </cell>
        </row>
        <row r="354">
          <cell r="S354" t="str">
            <v xml:space="preserve"> - </v>
          </cell>
          <cell r="T354">
            <v>0</v>
          </cell>
        </row>
        <row r="355">
          <cell r="S355" t="str">
            <v xml:space="preserve"> - </v>
          </cell>
          <cell r="T355">
            <v>0</v>
          </cell>
        </row>
        <row r="356">
          <cell r="S356" t="str">
            <v xml:space="preserve"> - </v>
          </cell>
          <cell r="T356">
            <v>0</v>
          </cell>
        </row>
        <row r="357">
          <cell r="S357" t="str">
            <v xml:space="preserve"> - </v>
          </cell>
          <cell r="T357">
            <v>0</v>
          </cell>
        </row>
        <row r="358">
          <cell r="S358" t="str">
            <v xml:space="preserve"> - </v>
          </cell>
          <cell r="T358">
            <v>0</v>
          </cell>
        </row>
        <row r="359">
          <cell r="S359" t="str">
            <v xml:space="preserve"> - </v>
          </cell>
          <cell r="T359">
            <v>0</v>
          </cell>
        </row>
        <row r="360">
          <cell r="S360" t="str">
            <v xml:space="preserve"> - </v>
          </cell>
          <cell r="T360">
            <v>0</v>
          </cell>
        </row>
        <row r="361">
          <cell r="S361" t="str">
            <v xml:space="preserve"> - </v>
          </cell>
          <cell r="T361">
            <v>0</v>
          </cell>
        </row>
        <row r="362">
          <cell r="S362" t="str">
            <v xml:space="preserve"> - </v>
          </cell>
          <cell r="T362">
            <v>0</v>
          </cell>
        </row>
        <row r="363">
          <cell r="S363" t="str">
            <v xml:space="preserve"> - </v>
          </cell>
          <cell r="T363">
            <v>0</v>
          </cell>
        </row>
        <row r="364">
          <cell r="S364" t="str">
            <v xml:space="preserve"> - </v>
          </cell>
          <cell r="T364">
            <v>0</v>
          </cell>
        </row>
        <row r="365">
          <cell r="S365" t="str">
            <v xml:space="preserve"> - </v>
          </cell>
          <cell r="T365">
            <v>0</v>
          </cell>
        </row>
        <row r="366">
          <cell r="S366" t="str">
            <v xml:space="preserve"> - </v>
          </cell>
          <cell r="T366">
            <v>0</v>
          </cell>
        </row>
        <row r="367">
          <cell r="S367" t="str">
            <v xml:space="preserve"> - </v>
          </cell>
          <cell r="T367">
            <v>0</v>
          </cell>
        </row>
        <row r="368">
          <cell r="S368" t="str">
            <v xml:space="preserve"> - </v>
          </cell>
          <cell r="T368">
            <v>0</v>
          </cell>
        </row>
        <row r="369">
          <cell r="S369" t="str">
            <v xml:space="preserve"> - </v>
          </cell>
          <cell r="T369">
            <v>0</v>
          </cell>
        </row>
        <row r="370">
          <cell r="S370" t="str">
            <v xml:space="preserve"> - </v>
          </cell>
          <cell r="T370">
            <v>0</v>
          </cell>
        </row>
        <row r="371">
          <cell r="S371" t="str">
            <v xml:space="preserve"> - </v>
          </cell>
          <cell r="T371">
            <v>0</v>
          </cell>
        </row>
        <row r="372">
          <cell r="S372" t="str">
            <v xml:space="preserve"> - </v>
          </cell>
          <cell r="T372">
            <v>0</v>
          </cell>
        </row>
        <row r="373">
          <cell r="S373" t="str">
            <v xml:space="preserve"> - </v>
          </cell>
          <cell r="T373">
            <v>0</v>
          </cell>
        </row>
        <row r="374">
          <cell r="S374" t="str">
            <v xml:space="preserve"> - </v>
          </cell>
          <cell r="T374">
            <v>0</v>
          </cell>
        </row>
        <row r="375">
          <cell r="S375" t="str">
            <v xml:space="preserve"> - </v>
          </cell>
          <cell r="T375">
            <v>0</v>
          </cell>
        </row>
        <row r="376">
          <cell r="S376" t="str">
            <v xml:space="preserve"> - </v>
          </cell>
          <cell r="T376">
            <v>0</v>
          </cell>
        </row>
        <row r="377">
          <cell r="S377" t="str">
            <v xml:space="preserve"> - </v>
          </cell>
          <cell r="T377">
            <v>0</v>
          </cell>
        </row>
        <row r="378">
          <cell r="S378" t="str">
            <v xml:space="preserve"> - </v>
          </cell>
          <cell r="T378">
            <v>0</v>
          </cell>
        </row>
        <row r="379">
          <cell r="S379" t="str">
            <v xml:space="preserve"> - </v>
          </cell>
          <cell r="T379">
            <v>0</v>
          </cell>
        </row>
        <row r="380">
          <cell r="S380" t="str">
            <v xml:space="preserve"> - </v>
          </cell>
          <cell r="T380">
            <v>0</v>
          </cell>
        </row>
        <row r="381">
          <cell r="S381" t="str">
            <v xml:space="preserve"> - </v>
          </cell>
          <cell r="T381">
            <v>0</v>
          </cell>
        </row>
        <row r="382">
          <cell r="S382" t="str">
            <v xml:space="preserve"> - </v>
          </cell>
          <cell r="T382">
            <v>0</v>
          </cell>
        </row>
        <row r="383">
          <cell r="S383" t="str">
            <v xml:space="preserve"> - </v>
          </cell>
          <cell r="T383">
            <v>0</v>
          </cell>
        </row>
        <row r="384">
          <cell r="S384" t="str">
            <v xml:space="preserve"> - </v>
          </cell>
          <cell r="T384">
            <v>0</v>
          </cell>
        </row>
        <row r="385">
          <cell r="S385" t="str">
            <v xml:space="preserve"> - </v>
          </cell>
          <cell r="T385">
            <v>0</v>
          </cell>
        </row>
        <row r="386">
          <cell r="S386" t="str">
            <v xml:space="preserve"> - </v>
          </cell>
          <cell r="T386">
            <v>0</v>
          </cell>
        </row>
        <row r="387">
          <cell r="S387" t="str">
            <v xml:space="preserve"> - </v>
          </cell>
          <cell r="T387">
            <v>0</v>
          </cell>
        </row>
        <row r="388">
          <cell r="S388" t="str">
            <v xml:space="preserve"> - </v>
          </cell>
          <cell r="T388">
            <v>0</v>
          </cell>
        </row>
        <row r="389">
          <cell r="S389" t="str">
            <v xml:space="preserve"> - </v>
          </cell>
          <cell r="T389">
            <v>0</v>
          </cell>
        </row>
        <row r="390">
          <cell r="S390" t="str">
            <v xml:space="preserve"> - </v>
          </cell>
          <cell r="T390">
            <v>0</v>
          </cell>
        </row>
        <row r="391">
          <cell r="S391" t="str">
            <v xml:space="preserve"> - </v>
          </cell>
          <cell r="T391">
            <v>0</v>
          </cell>
        </row>
        <row r="392">
          <cell r="S392" t="str">
            <v xml:space="preserve"> - </v>
          </cell>
          <cell r="T392">
            <v>0</v>
          </cell>
        </row>
        <row r="393">
          <cell r="S393" t="str">
            <v xml:space="preserve"> - </v>
          </cell>
          <cell r="T393">
            <v>0</v>
          </cell>
        </row>
        <row r="394">
          <cell r="S394" t="str">
            <v xml:space="preserve"> - </v>
          </cell>
          <cell r="T394">
            <v>0</v>
          </cell>
        </row>
        <row r="395">
          <cell r="S395" t="str">
            <v xml:space="preserve"> - </v>
          </cell>
          <cell r="T395">
            <v>0</v>
          </cell>
        </row>
        <row r="396">
          <cell r="S396" t="str">
            <v xml:space="preserve"> - </v>
          </cell>
          <cell r="T396">
            <v>0</v>
          </cell>
        </row>
        <row r="397">
          <cell r="S397" t="str">
            <v xml:space="preserve"> - </v>
          </cell>
          <cell r="T397">
            <v>0</v>
          </cell>
        </row>
        <row r="398">
          <cell r="S398" t="str">
            <v xml:space="preserve"> - </v>
          </cell>
          <cell r="T398">
            <v>0</v>
          </cell>
        </row>
        <row r="399">
          <cell r="S399" t="str">
            <v xml:space="preserve"> - </v>
          </cell>
          <cell r="T399">
            <v>0</v>
          </cell>
        </row>
        <row r="400">
          <cell r="S400" t="str">
            <v xml:space="preserve"> - </v>
          </cell>
          <cell r="T400">
            <v>0</v>
          </cell>
        </row>
        <row r="401">
          <cell r="S401" t="str">
            <v xml:space="preserve"> - </v>
          </cell>
          <cell r="T401">
            <v>0</v>
          </cell>
        </row>
        <row r="402">
          <cell r="S402" t="str">
            <v xml:space="preserve"> - </v>
          </cell>
          <cell r="T402">
            <v>0</v>
          </cell>
        </row>
        <row r="403">
          <cell r="S403" t="str">
            <v xml:space="preserve"> - </v>
          </cell>
          <cell r="T403">
            <v>0</v>
          </cell>
        </row>
        <row r="404">
          <cell r="S404" t="str">
            <v xml:space="preserve"> - </v>
          </cell>
          <cell r="T404">
            <v>0</v>
          </cell>
        </row>
        <row r="405">
          <cell r="S405" t="str">
            <v xml:space="preserve"> - </v>
          </cell>
          <cell r="T405">
            <v>0</v>
          </cell>
        </row>
        <row r="406">
          <cell r="S406" t="str">
            <v xml:space="preserve"> - </v>
          </cell>
          <cell r="T406">
            <v>0</v>
          </cell>
        </row>
        <row r="407">
          <cell r="S407" t="str">
            <v xml:space="preserve"> - </v>
          </cell>
          <cell r="T407">
            <v>0</v>
          </cell>
        </row>
        <row r="408">
          <cell r="S408" t="str">
            <v xml:space="preserve"> - </v>
          </cell>
          <cell r="T408">
            <v>0</v>
          </cell>
        </row>
        <row r="409">
          <cell r="S409" t="str">
            <v xml:space="preserve"> - </v>
          </cell>
          <cell r="T409">
            <v>0</v>
          </cell>
        </row>
        <row r="410">
          <cell r="S410" t="str">
            <v xml:space="preserve"> - </v>
          </cell>
          <cell r="T410">
            <v>0</v>
          </cell>
        </row>
        <row r="411">
          <cell r="S411" t="str">
            <v xml:space="preserve"> - </v>
          </cell>
          <cell r="T411">
            <v>0</v>
          </cell>
        </row>
        <row r="412">
          <cell r="S412" t="str">
            <v xml:space="preserve"> - </v>
          </cell>
          <cell r="T412">
            <v>0</v>
          </cell>
        </row>
        <row r="413">
          <cell r="S413" t="str">
            <v xml:space="preserve"> - </v>
          </cell>
          <cell r="T413">
            <v>0</v>
          </cell>
        </row>
        <row r="414">
          <cell r="S414" t="str">
            <v xml:space="preserve"> - </v>
          </cell>
          <cell r="T414">
            <v>0</v>
          </cell>
        </row>
        <row r="415">
          <cell r="S415" t="str">
            <v xml:space="preserve"> - </v>
          </cell>
          <cell r="T415">
            <v>0</v>
          </cell>
        </row>
        <row r="416">
          <cell r="S416" t="str">
            <v xml:space="preserve"> - </v>
          </cell>
          <cell r="T416">
            <v>0</v>
          </cell>
        </row>
        <row r="417">
          <cell r="S417" t="str">
            <v xml:space="preserve"> - </v>
          </cell>
          <cell r="T417">
            <v>0</v>
          </cell>
        </row>
        <row r="418">
          <cell r="S418" t="str">
            <v xml:space="preserve"> - </v>
          </cell>
          <cell r="T418">
            <v>0</v>
          </cell>
        </row>
        <row r="419">
          <cell r="S419" t="str">
            <v xml:space="preserve"> - </v>
          </cell>
          <cell r="T419">
            <v>0</v>
          </cell>
        </row>
        <row r="420">
          <cell r="S420" t="str">
            <v xml:space="preserve"> - </v>
          </cell>
          <cell r="T420">
            <v>0</v>
          </cell>
        </row>
        <row r="421">
          <cell r="S421" t="str">
            <v xml:space="preserve"> - </v>
          </cell>
          <cell r="T421">
            <v>0</v>
          </cell>
        </row>
        <row r="422">
          <cell r="S422" t="str">
            <v xml:space="preserve"> - </v>
          </cell>
          <cell r="T422">
            <v>0</v>
          </cell>
        </row>
        <row r="423">
          <cell r="S423" t="str">
            <v xml:space="preserve"> - </v>
          </cell>
          <cell r="T423">
            <v>0</v>
          </cell>
        </row>
        <row r="424">
          <cell r="S424" t="str">
            <v xml:space="preserve"> - </v>
          </cell>
          <cell r="T424">
            <v>0</v>
          </cell>
        </row>
        <row r="425">
          <cell r="S425" t="str">
            <v xml:space="preserve"> - </v>
          </cell>
          <cell r="T425">
            <v>0</v>
          </cell>
        </row>
        <row r="426">
          <cell r="S426" t="str">
            <v xml:space="preserve"> - </v>
          </cell>
          <cell r="T426">
            <v>0</v>
          </cell>
        </row>
        <row r="427">
          <cell r="S427" t="str">
            <v xml:space="preserve"> - </v>
          </cell>
          <cell r="T427">
            <v>0</v>
          </cell>
        </row>
        <row r="428">
          <cell r="S428" t="str">
            <v xml:space="preserve"> - </v>
          </cell>
          <cell r="T428">
            <v>0</v>
          </cell>
        </row>
        <row r="429">
          <cell r="S429" t="str">
            <v xml:space="preserve"> - </v>
          </cell>
          <cell r="T429">
            <v>0</v>
          </cell>
        </row>
        <row r="430">
          <cell r="S430" t="str">
            <v xml:space="preserve"> - </v>
          </cell>
          <cell r="T430">
            <v>0</v>
          </cell>
        </row>
        <row r="431">
          <cell r="S431" t="str">
            <v xml:space="preserve"> - </v>
          </cell>
          <cell r="T431">
            <v>0</v>
          </cell>
        </row>
        <row r="432">
          <cell r="S432" t="str">
            <v xml:space="preserve"> - </v>
          </cell>
          <cell r="T432">
            <v>0</v>
          </cell>
        </row>
        <row r="433">
          <cell r="S433" t="str">
            <v xml:space="preserve"> - </v>
          </cell>
          <cell r="T433">
            <v>0</v>
          </cell>
        </row>
        <row r="434">
          <cell r="S434" t="str">
            <v xml:space="preserve"> - </v>
          </cell>
          <cell r="T434">
            <v>0</v>
          </cell>
        </row>
        <row r="435">
          <cell r="S435" t="str">
            <v xml:space="preserve"> - </v>
          </cell>
          <cell r="T435">
            <v>0</v>
          </cell>
        </row>
        <row r="436">
          <cell r="S436" t="str">
            <v xml:space="preserve"> - </v>
          </cell>
          <cell r="T436">
            <v>0</v>
          </cell>
        </row>
        <row r="437">
          <cell r="S437" t="str">
            <v xml:space="preserve"> - </v>
          </cell>
          <cell r="T437">
            <v>0</v>
          </cell>
        </row>
        <row r="438">
          <cell r="S438" t="str">
            <v xml:space="preserve"> - </v>
          </cell>
          <cell r="T438">
            <v>0</v>
          </cell>
        </row>
        <row r="439">
          <cell r="S439" t="str">
            <v xml:space="preserve"> - </v>
          </cell>
          <cell r="T439">
            <v>0</v>
          </cell>
        </row>
        <row r="440">
          <cell r="S440" t="str">
            <v xml:space="preserve"> - </v>
          </cell>
          <cell r="T440">
            <v>0</v>
          </cell>
        </row>
        <row r="441">
          <cell r="S441" t="str">
            <v xml:space="preserve"> - </v>
          </cell>
          <cell r="T441">
            <v>0</v>
          </cell>
        </row>
        <row r="442">
          <cell r="S442" t="str">
            <v xml:space="preserve"> - </v>
          </cell>
          <cell r="T442">
            <v>0</v>
          </cell>
        </row>
        <row r="443">
          <cell r="S443" t="str">
            <v xml:space="preserve"> - </v>
          </cell>
          <cell r="T443">
            <v>0</v>
          </cell>
        </row>
        <row r="444">
          <cell r="S444" t="str">
            <v xml:space="preserve"> - </v>
          </cell>
          <cell r="T444">
            <v>0</v>
          </cell>
        </row>
        <row r="445">
          <cell r="S445" t="str">
            <v xml:space="preserve"> - </v>
          </cell>
          <cell r="T445">
            <v>0</v>
          </cell>
        </row>
        <row r="446">
          <cell r="S446" t="str">
            <v xml:space="preserve"> - </v>
          </cell>
          <cell r="T446">
            <v>0</v>
          </cell>
        </row>
        <row r="447">
          <cell r="S447" t="str">
            <v xml:space="preserve"> - </v>
          </cell>
          <cell r="T447">
            <v>0</v>
          </cell>
        </row>
        <row r="448">
          <cell r="S448" t="str">
            <v xml:space="preserve"> - </v>
          </cell>
          <cell r="T448">
            <v>0</v>
          </cell>
        </row>
        <row r="449">
          <cell r="S449" t="str">
            <v xml:space="preserve"> - </v>
          </cell>
          <cell r="T449">
            <v>0</v>
          </cell>
        </row>
        <row r="450">
          <cell r="S450" t="str">
            <v xml:space="preserve"> - </v>
          </cell>
          <cell r="T450">
            <v>0</v>
          </cell>
        </row>
        <row r="451">
          <cell r="S451" t="str">
            <v xml:space="preserve"> - </v>
          </cell>
          <cell r="T451">
            <v>0</v>
          </cell>
        </row>
        <row r="452">
          <cell r="S452" t="str">
            <v xml:space="preserve"> - </v>
          </cell>
          <cell r="T452">
            <v>0</v>
          </cell>
        </row>
        <row r="453">
          <cell r="S453" t="str">
            <v xml:space="preserve"> - </v>
          </cell>
          <cell r="T453">
            <v>0</v>
          </cell>
        </row>
        <row r="454">
          <cell r="S454" t="str">
            <v xml:space="preserve"> - </v>
          </cell>
          <cell r="T454">
            <v>0</v>
          </cell>
        </row>
        <row r="455">
          <cell r="S455" t="str">
            <v xml:space="preserve"> - </v>
          </cell>
          <cell r="T455">
            <v>0</v>
          </cell>
        </row>
        <row r="456">
          <cell r="S456" t="str">
            <v xml:space="preserve"> - </v>
          </cell>
          <cell r="T456">
            <v>0</v>
          </cell>
        </row>
        <row r="457">
          <cell r="S457" t="str">
            <v xml:space="preserve"> - </v>
          </cell>
          <cell r="T457">
            <v>0</v>
          </cell>
        </row>
        <row r="458">
          <cell r="S458" t="str">
            <v xml:space="preserve"> - </v>
          </cell>
          <cell r="T458">
            <v>0</v>
          </cell>
        </row>
        <row r="459">
          <cell r="S459" t="str">
            <v xml:space="preserve"> - </v>
          </cell>
          <cell r="T459">
            <v>0</v>
          </cell>
        </row>
        <row r="460">
          <cell r="S460" t="str">
            <v xml:space="preserve"> - </v>
          </cell>
          <cell r="T460">
            <v>0</v>
          </cell>
        </row>
        <row r="461">
          <cell r="S461" t="str">
            <v xml:space="preserve"> - </v>
          </cell>
          <cell r="T461">
            <v>0</v>
          </cell>
        </row>
        <row r="462">
          <cell r="S462" t="str">
            <v xml:space="preserve"> - </v>
          </cell>
          <cell r="T462">
            <v>0</v>
          </cell>
        </row>
        <row r="463">
          <cell r="S463" t="str">
            <v xml:space="preserve"> - </v>
          </cell>
          <cell r="T463">
            <v>0</v>
          </cell>
        </row>
        <row r="464">
          <cell r="S464" t="str">
            <v xml:space="preserve"> - </v>
          </cell>
          <cell r="T464">
            <v>0</v>
          </cell>
        </row>
        <row r="465">
          <cell r="S465" t="str">
            <v xml:space="preserve"> - </v>
          </cell>
          <cell r="T465">
            <v>0</v>
          </cell>
        </row>
        <row r="466">
          <cell r="S466" t="str">
            <v xml:space="preserve"> - </v>
          </cell>
          <cell r="T466">
            <v>0</v>
          </cell>
        </row>
        <row r="467">
          <cell r="S467" t="str">
            <v xml:space="preserve"> - </v>
          </cell>
          <cell r="T467">
            <v>0</v>
          </cell>
        </row>
        <row r="468">
          <cell r="S468" t="str">
            <v xml:space="preserve"> - </v>
          </cell>
          <cell r="T468">
            <v>0</v>
          </cell>
        </row>
        <row r="469">
          <cell r="S469" t="str">
            <v xml:space="preserve"> - </v>
          </cell>
          <cell r="T469">
            <v>0</v>
          </cell>
        </row>
        <row r="470">
          <cell r="S470" t="str">
            <v xml:space="preserve"> - </v>
          </cell>
          <cell r="T470">
            <v>0</v>
          </cell>
        </row>
        <row r="471">
          <cell r="S471" t="str">
            <v xml:space="preserve"> - </v>
          </cell>
          <cell r="T471">
            <v>0</v>
          </cell>
        </row>
        <row r="472">
          <cell r="S472" t="str">
            <v xml:space="preserve"> - </v>
          </cell>
          <cell r="T472">
            <v>0</v>
          </cell>
        </row>
        <row r="473">
          <cell r="S473" t="str">
            <v xml:space="preserve"> - </v>
          </cell>
          <cell r="T473">
            <v>0</v>
          </cell>
        </row>
        <row r="474">
          <cell r="S474" t="str">
            <v xml:space="preserve"> - </v>
          </cell>
          <cell r="T474">
            <v>0</v>
          </cell>
        </row>
        <row r="475">
          <cell r="S475" t="str">
            <v xml:space="preserve"> - </v>
          </cell>
          <cell r="T475">
            <v>0</v>
          </cell>
        </row>
        <row r="476">
          <cell r="S476" t="str">
            <v xml:space="preserve"> - </v>
          </cell>
          <cell r="T476">
            <v>0</v>
          </cell>
        </row>
        <row r="477">
          <cell r="S477" t="str">
            <v xml:space="preserve"> - </v>
          </cell>
          <cell r="T477">
            <v>0</v>
          </cell>
        </row>
        <row r="478">
          <cell r="S478" t="str">
            <v xml:space="preserve"> - </v>
          </cell>
          <cell r="T478">
            <v>0</v>
          </cell>
        </row>
        <row r="479">
          <cell r="S479" t="str">
            <v xml:space="preserve"> - </v>
          </cell>
          <cell r="T479">
            <v>0</v>
          </cell>
        </row>
        <row r="480">
          <cell r="S480" t="str">
            <v xml:space="preserve"> - </v>
          </cell>
          <cell r="T480">
            <v>0</v>
          </cell>
        </row>
        <row r="481">
          <cell r="S481" t="str">
            <v xml:space="preserve"> - </v>
          </cell>
          <cell r="T481">
            <v>0</v>
          </cell>
        </row>
        <row r="482">
          <cell r="S482" t="str">
            <v xml:space="preserve"> - </v>
          </cell>
          <cell r="T482">
            <v>0</v>
          </cell>
        </row>
        <row r="483">
          <cell r="S483" t="str">
            <v xml:space="preserve"> - </v>
          </cell>
          <cell r="T483">
            <v>0</v>
          </cell>
        </row>
        <row r="484">
          <cell r="S484" t="str">
            <v xml:space="preserve"> - </v>
          </cell>
          <cell r="T484">
            <v>0</v>
          </cell>
        </row>
        <row r="485">
          <cell r="S485" t="str">
            <v xml:space="preserve"> - </v>
          </cell>
          <cell r="T485">
            <v>0</v>
          </cell>
        </row>
        <row r="486">
          <cell r="S486" t="str">
            <v xml:space="preserve"> - </v>
          </cell>
          <cell r="T486">
            <v>0</v>
          </cell>
        </row>
        <row r="487">
          <cell r="S487" t="str">
            <v xml:space="preserve"> - </v>
          </cell>
          <cell r="T487">
            <v>0</v>
          </cell>
        </row>
        <row r="488">
          <cell r="S488" t="str">
            <v xml:space="preserve"> - </v>
          </cell>
          <cell r="T488">
            <v>0</v>
          </cell>
        </row>
        <row r="489">
          <cell r="S489" t="str">
            <v xml:space="preserve"> - </v>
          </cell>
          <cell r="T489">
            <v>0</v>
          </cell>
        </row>
        <row r="490">
          <cell r="S490" t="str">
            <v xml:space="preserve"> - </v>
          </cell>
          <cell r="T490">
            <v>0</v>
          </cell>
        </row>
        <row r="491">
          <cell r="S491" t="str">
            <v xml:space="preserve"> - </v>
          </cell>
          <cell r="T491">
            <v>0</v>
          </cell>
        </row>
        <row r="492">
          <cell r="S492" t="str">
            <v xml:space="preserve"> - </v>
          </cell>
          <cell r="T492">
            <v>0</v>
          </cell>
        </row>
        <row r="493">
          <cell r="S493" t="str">
            <v xml:space="preserve"> - </v>
          </cell>
          <cell r="T493">
            <v>0</v>
          </cell>
        </row>
        <row r="494">
          <cell r="S494" t="str">
            <v xml:space="preserve"> - </v>
          </cell>
          <cell r="T494">
            <v>0</v>
          </cell>
        </row>
        <row r="495">
          <cell r="S495" t="str">
            <v xml:space="preserve"> - </v>
          </cell>
          <cell r="T495">
            <v>0</v>
          </cell>
        </row>
        <row r="496">
          <cell r="S496" t="str">
            <v xml:space="preserve"> - </v>
          </cell>
          <cell r="T496">
            <v>0</v>
          </cell>
        </row>
        <row r="497">
          <cell r="S497" t="str">
            <v xml:space="preserve"> - </v>
          </cell>
          <cell r="T497">
            <v>0</v>
          </cell>
        </row>
        <row r="498">
          <cell r="S498" t="str">
            <v xml:space="preserve"> - </v>
          </cell>
          <cell r="T498">
            <v>0</v>
          </cell>
        </row>
        <row r="499">
          <cell r="S499" t="str">
            <v xml:space="preserve"> - </v>
          </cell>
          <cell r="T499">
            <v>0</v>
          </cell>
        </row>
        <row r="500">
          <cell r="S500" t="str">
            <v xml:space="preserve"> - </v>
          </cell>
          <cell r="T500">
            <v>0</v>
          </cell>
        </row>
        <row r="501">
          <cell r="S501" t="str">
            <v xml:space="preserve"> - </v>
          </cell>
          <cell r="T501">
            <v>0</v>
          </cell>
        </row>
        <row r="502">
          <cell r="S502" t="str">
            <v xml:space="preserve"> - </v>
          </cell>
          <cell r="T502">
            <v>0</v>
          </cell>
        </row>
        <row r="503">
          <cell r="S503" t="str">
            <v xml:space="preserve"> - </v>
          </cell>
          <cell r="T503">
            <v>0</v>
          </cell>
        </row>
        <row r="504">
          <cell r="S504" t="str">
            <v xml:space="preserve"> - </v>
          </cell>
          <cell r="T504">
            <v>0</v>
          </cell>
        </row>
        <row r="505">
          <cell r="S505" t="str">
            <v xml:space="preserve"> - </v>
          </cell>
          <cell r="T505">
            <v>0</v>
          </cell>
        </row>
        <row r="506">
          <cell r="S506" t="str">
            <v xml:space="preserve"> - </v>
          </cell>
          <cell r="T506">
            <v>0</v>
          </cell>
        </row>
        <row r="507">
          <cell r="S507" t="str">
            <v xml:space="preserve"> - </v>
          </cell>
          <cell r="T507">
            <v>0</v>
          </cell>
        </row>
        <row r="508">
          <cell r="S508" t="str">
            <v xml:space="preserve"> - </v>
          </cell>
          <cell r="T508">
            <v>0</v>
          </cell>
        </row>
        <row r="509">
          <cell r="S509" t="str">
            <v xml:space="preserve"> - </v>
          </cell>
          <cell r="T509">
            <v>0</v>
          </cell>
        </row>
        <row r="510">
          <cell r="S510" t="str">
            <v xml:space="preserve"> - </v>
          </cell>
          <cell r="T510">
            <v>0</v>
          </cell>
        </row>
        <row r="511">
          <cell r="S511" t="str">
            <v xml:space="preserve"> - </v>
          </cell>
          <cell r="T511">
            <v>0</v>
          </cell>
        </row>
        <row r="512">
          <cell r="S512" t="str">
            <v xml:space="preserve"> - </v>
          </cell>
          <cell r="T512">
            <v>0</v>
          </cell>
        </row>
        <row r="513">
          <cell r="S513" t="str">
            <v xml:space="preserve"> - </v>
          </cell>
          <cell r="T513">
            <v>0</v>
          </cell>
        </row>
        <row r="514">
          <cell r="S514" t="str">
            <v xml:space="preserve"> - </v>
          </cell>
          <cell r="T514">
            <v>0</v>
          </cell>
        </row>
        <row r="515">
          <cell r="S515" t="str">
            <v xml:space="preserve"> - </v>
          </cell>
          <cell r="T515">
            <v>0</v>
          </cell>
        </row>
        <row r="516">
          <cell r="S516" t="str">
            <v xml:space="preserve"> - </v>
          </cell>
          <cell r="T516">
            <v>0</v>
          </cell>
        </row>
        <row r="517">
          <cell r="S517" t="str">
            <v xml:space="preserve"> - </v>
          </cell>
          <cell r="T517">
            <v>0</v>
          </cell>
        </row>
        <row r="518">
          <cell r="S518" t="str">
            <v xml:space="preserve"> - </v>
          </cell>
          <cell r="T518">
            <v>0</v>
          </cell>
        </row>
        <row r="519">
          <cell r="S519" t="str">
            <v xml:space="preserve"> - </v>
          </cell>
          <cell r="T519">
            <v>0</v>
          </cell>
        </row>
        <row r="520">
          <cell r="S520" t="str">
            <v xml:space="preserve"> - </v>
          </cell>
          <cell r="T520">
            <v>0</v>
          </cell>
        </row>
        <row r="521">
          <cell r="S521" t="str">
            <v xml:space="preserve"> - </v>
          </cell>
          <cell r="T521">
            <v>0</v>
          </cell>
        </row>
        <row r="522">
          <cell r="S522" t="str">
            <v xml:space="preserve"> - </v>
          </cell>
          <cell r="T522">
            <v>0</v>
          </cell>
        </row>
        <row r="523">
          <cell r="S523" t="str">
            <v xml:space="preserve"> - </v>
          </cell>
          <cell r="T523">
            <v>0</v>
          </cell>
        </row>
        <row r="524">
          <cell r="S524" t="str">
            <v xml:space="preserve"> - </v>
          </cell>
          <cell r="T524">
            <v>0</v>
          </cell>
        </row>
        <row r="525">
          <cell r="S525" t="str">
            <v xml:space="preserve"> - </v>
          </cell>
          <cell r="T525">
            <v>0</v>
          </cell>
        </row>
        <row r="526">
          <cell r="S526" t="str">
            <v xml:space="preserve"> - </v>
          </cell>
          <cell r="T526">
            <v>0</v>
          </cell>
        </row>
        <row r="527">
          <cell r="S527" t="str">
            <v xml:space="preserve"> - </v>
          </cell>
          <cell r="T527">
            <v>0</v>
          </cell>
        </row>
        <row r="528">
          <cell r="S528" t="str">
            <v xml:space="preserve"> - </v>
          </cell>
          <cell r="T528">
            <v>0</v>
          </cell>
        </row>
        <row r="529">
          <cell r="S529" t="str">
            <v xml:space="preserve"> - </v>
          </cell>
          <cell r="T529">
            <v>0</v>
          </cell>
        </row>
        <row r="530">
          <cell r="S530" t="str">
            <v xml:space="preserve"> - </v>
          </cell>
          <cell r="T530">
            <v>0</v>
          </cell>
        </row>
        <row r="531">
          <cell r="S531" t="str">
            <v xml:space="preserve"> - </v>
          </cell>
          <cell r="T531">
            <v>0</v>
          </cell>
        </row>
        <row r="532">
          <cell r="S532" t="str">
            <v xml:space="preserve"> - </v>
          </cell>
          <cell r="T532">
            <v>0</v>
          </cell>
        </row>
        <row r="533">
          <cell r="S533" t="str">
            <v xml:space="preserve"> - </v>
          </cell>
          <cell r="T533">
            <v>0</v>
          </cell>
        </row>
        <row r="534">
          <cell r="S534" t="str">
            <v xml:space="preserve"> - </v>
          </cell>
          <cell r="T534">
            <v>0</v>
          </cell>
        </row>
        <row r="535">
          <cell r="S535" t="str">
            <v xml:space="preserve"> - </v>
          </cell>
          <cell r="T535">
            <v>0</v>
          </cell>
        </row>
        <row r="536">
          <cell r="S536" t="str">
            <v xml:space="preserve"> - </v>
          </cell>
          <cell r="T536">
            <v>0</v>
          </cell>
        </row>
        <row r="537">
          <cell r="S537" t="str">
            <v xml:space="preserve"> - </v>
          </cell>
          <cell r="T537">
            <v>0</v>
          </cell>
        </row>
        <row r="538">
          <cell r="S538" t="str">
            <v xml:space="preserve"> - </v>
          </cell>
          <cell r="T538">
            <v>0</v>
          </cell>
        </row>
        <row r="539">
          <cell r="S539" t="str">
            <v xml:space="preserve"> - </v>
          </cell>
          <cell r="T539">
            <v>0</v>
          </cell>
        </row>
        <row r="540">
          <cell r="S540" t="str">
            <v xml:space="preserve"> - </v>
          </cell>
          <cell r="T540">
            <v>0</v>
          </cell>
        </row>
        <row r="541">
          <cell r="S541" t="str">
            <v xml:space="preserve"> - </v>
          </cell>
          <cell r="T541">
            <v>0</v>
          </cell>
        </row>
        <row r="542">
          <cell r="S542" t="str">
            <v xml:space="preserve"> - </v>
          </cell>
          <cell r="T542">
            <v>0</v>
          </cell>
        </row>
        <row r="543">
          <cell r="S543" t="str">
            <v xml:space="preserve"> - </v>
          </cell>
          <cell r="T543">
            <v>0</v>
          </cell>
        </row>
        <row r="544">
          <cell r="S544" t="str">
            <v xml:space="preserve"> - </v>
          </cell>
          <cell r="T544">
            <v>0</v>
          </cell>
        </row>
        <row r="545">
          <cell r="S545" t="str">
            <v xml:space="preserve"> - </v>
          </cell>
          <cell r="T545">
            <v>0</v>
          </cell>
        </row>
        <row r="546">
          <cell r="S546" t="str">
            <v xml:space="preserve"> - </v>
          </cell>
          <cell r="T546">
            <v>0</v>
          </cell>
        </row>
        <row r="547">
          <cell r="S547" t="str">
            <v xml:space="preserve"> - </v>
          </cell>
          <cell r="T547">
            <v>0</v>
          </cell>
        </row>
        <row r="548">
          <cell r="S548" t="str">
            <v xml:space="preserve"> - </v>
          </cell>
          <cell r="T548">
            <v>0</v>
          </cell>
        </row>
        <row r="549">
          <cell r="S549" t="str">
            <v xml:space="preserve"> - </v>
          </cell>
          <cell r="T549">
            <v>0</v>
          </cell>
        </row>
        <row r="550">
          <cell r="S550" t="str">
            <v xml:space="preserve"> - </v>
          </cell>
          <cell r="T550">
            <v>0</v>
          </cell>
        </row>
        <row r="551">
          <cell r="S551" t="str">
            <v xml:space="preserve"> - </v>
          </cell>
          <cell r="T551">
            <v>0</v>
          </cell>
        </row>
        <row r="552">
          <cell r="S552" t="str">
            <v xml:space="preserve"> - </v>
          </cell>
          <cell r="T552">
            <v>0</v>
          </cell>
        </row>
        <row r="553">
          <cell r="S553" t="str">
            <v xml:space="preserve"> - </v>
          </cell>
          <cell r="T553">
            <v>0</v>
          </cell>
        </row>
        <row r="554">
          <cell r="S554" t="str">
            <v xml:space="preserve"> - </v>
          </cell>
          <cell r="T554">
            <v>0</v>
          </cell>
        </row>
        <row r="555">
          <cell r="S555" t="str">
            <v xml:space="preserve"> - </v>
          </cell>
          <cell r="T555">
            <v>0</v>
          </cell>
        </row>
        <row r="556">
          <cell r="S556" t="str">
            <v xml:space="preserve"> - </v>
          </cell>
          <cell r="T556">
            <v>0</v>
          </cell>
        </row>
        <row r="557">
          <cell r="S557" t="str">
            <v xml:space="preserve"> - </v>
          </cell>
          <cell r="T557">
            <v>0</v>
          </cell>
        </row>
        <row r="558">
          <cell r="S558" t="str">
            <v xml:space="preserve"> - </v>
          </cell>
          <cell r="T558">
            <v>0</v>
          </cell>
        </row>
        <row r="559">
          <cell r="S559" t="str">
            <v xml:space="preserve"> - </v>
          </cell>
          <cell r="T559">
            <v>0</v>
          </cell>
        </row>
        <row r="560">
          <cell r="S560" t="str">
            <v xml:space="preserve"> - </v>
          </cell>
          <cell r="T560">
            <v>0</v>
          </cell>
        </row>
        <row r="561">
          <cell r="S561" t="str">
            <v xml:space="preserve"> - </v>
          </cell>
          <cell r="T561">
            <v>0</v>
          </cell>
        </row>
        <row r="562">
          <cell r="S562" t="str">
            <v xml:space="preserve"> - </v>
          </cell>
          <cell r="T562">
            <v>0</v>
          </cell>
        </row>
        <row r="563">
          <cell r="S563" t="str">
            <v xml:space="preserve"> - </v>
          </cell>
          <cell r="T563">
            <v>0</v>
          </cell>
        </row>
        <row r="564">
          <cell r="S564" t="str">
            <v xml:space="preserve"> - </v>
          </cell>
          <cell r="T564">
            <v>0</v>
          </cell>
        </row>
        <row r="565">
          <cell r="S565" t="str">
            <v xml:space="preserve"> - </v>
          </cell>
          <cell r="T565">
            <v>0</v>
          </cell>
        </row>
        <row r="566">
          <cell r="S566" t="str">
            <v xml:space="preserve"> - </v>
          </cell>
          <cell r="T566">
            <v>0</v>
          </cell>
        </row>
        <row r="567">
          <cell r="S567" t="str">
            <v xml:space="preserve"> - </v>
          </cell>
          <cell r="T567">
            <v>0</v>
          </cell>
        </row>
        <row r="568">
          <cell r="S568" t="str">
            <v xml:space="preserve"> - </v>
          </cell>
          <cell r="T568">
            <v>0</v>
          </cell>
        </row>
        <row r="569">
          <cell r="S569" t="str">
            <v xml:space="preserve"> - </v>
          </cell>
          <cell r="T569">
            <v>0</v>
          </cell>
        </row>
        <row r="570">
          <cell r="S570" t="str">
            <v xml:space="preserve"> - </v>
          </cell>
          <cell r="T570">
            <v>0</v>
          </cell>
        </row>
        <row r="571">
          <cell r="S571" t="str">
            <v xml:space="preserve"> - </v>
          </cell>
          <cell r="T571">
            <v>0</v>
          </cell>
        </row>
        <row r="572">
          <cell r="S572" t="str">
            <v xml:space="preserve"> - </v>
          </cell>
          <cell r="T572">
            <v>0</v>
          </cell>
        </row>
        <row r="573">
          <cell r="S573" t="str">
            <v xml:space="preserve"> - </v>
          </cell>
          <cell r="T573">
            <v>0</v>
          </cell>
        </row>
        <row r="574">
          <cell r="S574" t="str">
            <v xml:space="preserve"> - </v>
          </cell>
          <cell r="T574">
            <v>0</v>
          </cell>
        </row>
        <row r="575">
          <cell r="S575" t="str">
            <v xml:space="preserve"> - </v>
          </cell>
          <cell r="T575">
            <v>0</v>
          </cell>
        </row>
        <row r="576">
          <cell r="S576" t="str">
            <v xml:space="preserve"> - </v>
          </cell>
          <cell r="T576">
            <v>0</v>
          </cell>
        </row>
        <row r="577">
          <cell r="S577" t="str">
            <v xml:space="preserve"> - </v>
          </cell>
          <cell r="T577">
            <v>0</v>
          </cell>
        </row>
        <row r="578">
          <cell r="S578" t="str">
            <v xml:space="preserve"> - </v>
          </cell>
          <cell r="T578">
            <v>0</v>
          </cell>
        </row>
        <row r="579">
          <cell r="S579" t="str">
            <v xml:space="preserve"> - </v>
          </cell>
          <cell r="T579">
            <v>0</v>
          </cell>
        </row>
        <row r="580">
          <cell r="S580" t="str">
            <v xml:space="preserve"> - </v>
          </cell>
          <cell r="T580">
            <v>0</v>
          </cell>
        </row>
        <row r="581">
          <cell r="S581" t="str">
            <v xml:space="preserve"> - </v>
          </cell>
          <cell r="T581">
            <v>0</v>
          </cell>
        </row>
        <row r="582">
          <cell r="S582" t="str">
            <v xml:space="preserve"> - </v>
          </cell>
          <cell r="T582">
            <v>0</v>
          </cell>
        </row>
        <row r="583">
          <cell r="S583" t="str">
            <v xml:space="preserve"> - </v>
          </cell>
          <cell r="T583">
            <v>0</v>
          </cell>
        </row>
        <row r="584">
          <cell r="S584" t="str">
            <v xml:space="preserve"> - </v>
          </cell>
          <cell r="T584">
            <v>0</v>
          </cell>
        </row>
        <row r="585">
          <cell r="S585" t="str">
            <v xml:space="preserve"> - </v>
          </cell>
          <cell r="T585">
            <v>0</v>
          </cell>
        </row>
        <row r="586">
          <cell r="S586" t="str">
            <v xml:space="preserve"> - </v>
          </cell>
          <cell r="T586">
            <v>0</v>
          </cell>
        </row>
        <row r="587">
          <cell r="S587" t="str">
            <v xml:space="preserve"> - </v>
          </cell>
          <cell r="T587">
            <v>0</v>
          </cell>
        </row>
        <row r="588">
          <cell r="S588" t="str">
            <v xml:space="preserve"> - </v>
          </cell>
          <cell r="T588">
            <v>0</v>
          </cell>
        </row>
        <row r="589">
          <cell r="S589" t="str">
            <v xml:space="preserve"> - </v>
          </cell>
          <cell r="T589">
            <v>0</v>
          </cell>
        </row>
        <row r="590">
          <cell r="S590" t="str">
            <v xml:space="preserve"> - </v>
          </cell>
          <cell r="T590">
            <v>0</v>
          </cell>
        </row>
        <row r="591">
          <cell r="S591" t="str">
            <v xml:space="preserve"> - </v>
          </cell>
          <cell r="T591">
            <v>0</v>
          </cell>
        </row>
        <row r="592">
          <cell r="S592" t="str">
            <v xml:space="preserve"> - </v>
          </cell>
          <cell r="T592">
            <v>0</v>
          </cell>
        </row>
        <row r="593">
          <cell r="S593" t="str">
            <v xml:space="preserve"> - </v>
          </cell>
          <cell r="T593">
            <v>0</v>
          </cell>
        </row>
        <row r="594">
          <cell r="S594" t="str">
            <v xml:space="preserve"> - </v>
          </cell>
          <cell r="T594">
            <v>0</v>
          </cell>
        </row>
        <row r="595">
          <cell r="S595" t="str">
            <v xml:space="preserve"> - </v>
          </cell>
          <cell r="T595">
            <v>0</v>
          </cell>
        </row>
        <row r="596">
          <cell r="S596" t="str">
            <v xml:space="preserve"> - </v>
          </cell>
          <cell r="T596">
            <v>0</v>
          </cell>
        </row>
        <row r="597">
          <cell r="S597" t="str">
            <v xml:space="preserve"> - </v>
          </cell>
          <cell r="T597">
            <v>0</v>
          </cell>
        </row>
        <row r="598">
          <cell r="S598" t="str">
            <v xml:space="preserve"> - </v>
          </cell>
          <cell r="T598">
            <v>0</v>
          </cell>
        </row>
        <row r="599">
          <cell r="S599" t="str">
            <v xml:space="preserve"> - </v>
          </cell>
          <cell r="T599">
            <v>0</v>
          </cell>
        </row>
        <row r="600">
          <cell r="S600" t="str">
            <v xml:space="preserve"> - </v>
          </cell>
          <cell r="T600">
            <v>0</v>
          </cell>
        </row>
        <row r="601">
          <cell r="S601" t="str">
            <v xml:space="preserve"> - </v>
          </cell>
          <cell r="T601">
            <v>0</v>
          </cell>
        </row>
        <row r="602">
          <cell r="S602" t="str">
            <v xml:space="preserve"> - </v>
          </cell>
          <cell r="T602">
            <v>0</v>
          </cell>
        </row>
        <row r="603">
          <cell r="S603" t="str">
            <v xml:space="preserve"> - </v>
          </cell>
          <cell r="T603">
            <v>0</v>
          </cell>
        </row>
        <row r="604">
          <cell r="S604" t="str">
            <v xml:space="preserve"> - </v>
          </cell>
          <cell r="T604">
            <v>0</v>
          </cell>
        </row>
        <row r="605">
          <cell r="S605" t="str">
            <v xml:space="preserve"> - </v>
          </cell>
          <cell r="T605">
            <v>0</v>
          </cell>
        </row>
        <row r="606">
          <cell r="S606" t="str">
            <v xml:space="preserve"> - </v>
          </cell>
          <cell r="T606">
            <v>0</v>
          </cell>
        </row>
        <row r="607">
          <cell r="S607" t="str">
            <v xml:space="preserve"> - </v>
          </cell>
          <cell r="T607">
            <v>0</v>
          </cell>
        </row>
        <row r="608">
          <cell r="S608" t="str">
            <v xml:space="preserve"> - </v>
          </cell>
          <cell r="T608">
            <v>0</v>
          </cell>
        </row>
        <row r="609">
          <cell r="S609" t="str">
            <v xml:space="preserve"> - </v>
          </cell>
          <cell r="T609">
            <v>0</v>
          </cell>
        </row>
        <row r="610">
          <cell r="S610" t="str">
            <v xml:space="preserve"> - </v>
          </cell>
          <cell r="T610">
            <v>0</v>
          </cell>
        </row>
        <row r="611">
          <cell r="S611" t="str">
            <v xml:space="preserve"> - </v>
          </cell>
          <cell r="T611">
            <v>0</v>
          </cell>
        </row>
        <row r="612">
          <cell r="S612" t="str">
            <v xml:space="preserve"> - </v>
          </cell>
          <cell r="T612">
            <v>0</v>
          </cell>
        </row>
        <row r="613">
          <cell r="S613" t="str">
            <v xml:space="preserve"> - </v>
          </cell>
          <cell r="T613">
            <v>0</v>
          </cell>
        </row>
        <row r="614">
          <cell r="S614" t="str">
            <v xml:space="preserve"> - </v>
          </cell>
          <cell r="T614">
            <v>0</v>
          </cell>
        </row>
        <row r="615">
          <cell r="S615" t="str">
            <v xml:space="preserve"> - </v>
          </cell>
          <cell r="T615">
            <v>0</v>
          </cell>
        </row>
        <row r="616">
          <cell r="S616" t="str">
            <v xml:space="preserve"> - </v>
          </cell>
          <cell r="T616">
            <v>0</v>
          </cell>
        </row>
        <row r="617">
          <cell r="S617" t="str">
            <v xml:space="preserve"> - </v>
          </cell>
          <cell r="T617">
            <v>0</v>
          </cell>
        </row>
        <row r="618">
          <cell r="S618" t="str">
            <v xml:space="preserve"> - </v>
          </cell>
          <cell r="T618">
            <v>0</v>
          </cell>
        </row>
        <row r="619">
          <cell r="S619" t="str">
            <v xml:space="preserve"> - </v>
          </cell>
          <cell r="T619">
            <v>0</v>
          </cell>
        </row>
        <row r="620">
          <cell r="S620" t="str">
            <v xml:space="preserve"> - </v>
          </cell>
          <cell r="T620">
            <v>0</v>
          </cell>
        </row>
        <row r="621">
          <cell r="S621" t="str">
            <v xml:space="preserve"> - </v>
          </cell>
          <cell r="T621">
            <v>0</v>
          </cell>
        </row>
        <row r="622">
          <cell r="S622" t="str">
            <v xml:space="preserve"> - </v>
          </cell>
          <cell r="T622">
            <v>0</v>
          </cell>
        </row>
        <row r="623">
          <cell r="S623" t="str">
            <v xml:space="preserve"> - </v>
          </cell>
          <cell r="T623">
            <v>0</v>
          </cell>
        </row>
        <row r="624">
          <cell r="S624" t="str">
            <v xml:space="preserve"> - </v>
          </cell>
          <cell r="T624">
            <v>0</v>
          </cell>
        </row>
        <row r="625">
          <cell r="S625" t="str">
            <v xml:space="preserve"> - </v>
          </cell>
          <cell r="T625">
            <v>0</v>
          </cell>
        </row>
        <row r="626">
          <cell r="S626" t="str">
            <v xml:space="preserve"> - </v>
          </cell>
          <cell r="T626">
            <v>0</v>
          </cell>
        </row>
        <row r="627">
          <cell r="S627" t="str">
            <v xml:space="preserve"> - </v>
          </cell>
          <cell r="T627">
            <v>0</v>
          </cell>
        </row>
        <row r="628">
          <cell r="S628" t="str">
            <v xml:space="preserve"> - </v>
          </cell>
          <cell r="T628">
            <v>0</v>
          </cell>
        </row>
        <row r="629">
          <cell r="S629" t="str">
            <v xml:space="preserve"> - </v>
          </cell>
          <cell r="T629">
            <v>0</v>
          </cell>
        </row>
        <row r="630">
          <cell r="S630" t="str">
            <v xml:space="preserve"> - </v>
          </cell>
          <cell r="T630">
            <v>0</v>
          </cell>
        </row>
        <row r="631">
          <cell r="S631" t="str">
            <v xml:space="preserve"> - </v>
          </cell>
          <cell r="T631">
            <v>0</v>
          </cell>
        </row>
        <row r="632">
          <cell r="S632" t="str">
            <v xml:space="preserve"> - </v>
          </cell>
          <cell r="T632">
            <v>0</v>
          </cell>
        </row>
        <row r="633">
          <cell r="S633" t="str">
            <v xml:space="preserve"> - </v>
          </cell>
          <cell r="T633">
            <v>0</v>
          </cell>
        </row>
        <row r="634">
          <cell r="S634" t="str">
            <v xml:space="preserve"> - </v>
          </cell>
          <cell r="T634">
            <v>0</v>
          </cell>
        </row>
        <row r="635">
          <cell r="S635" t="str">
            <v xml:space="preserve"> - </v>
          </cell>
          <cell r="T635">
            <v>0</v>
          </cell>
        </row>
        <row r="636">
          <cell r="S636" t="str">
            <v xml:space="preserve"> - </v>
          </cell>
          <cell r="T636">
            <v>0</v>
          </cell>
        </row>
        <row r="637">
          <cell r="S637" t="str">
            <v xml:space="preserve"> - </v>
          </cell>
          <cell r="T637">
            <v>0</v>
          </cell>
        </row>
        <row r="638">
          <cell r="S638" t="str">
            <v xml:space="preserve"> - </v>
          </cell>
          <cell r="T638">
            <v>0</v>
          </cell>
        </row>
        <row r="639">
          <cell r="S639" t="str">
            <v xml:space="preserve"> - </v>
          </cell>
          <cell r="T639">
            <v>0</v>
          </cell>
        </row>
        <row r="640">
          <cell r="S640" t="str">
            <v xml:space="preserve"> - </v>
          </cell>
          <cell r="T640">
            <v>0</v>
          </cell>
        </row>
        <row r="641">
          <cell r="S641" t="str">
            <v xml:space="preserve"> - </v>
          </cell>
          <cell r="T641">
            <v>0</v>
          </cell>
        </row>
        <row r="642">
          <cell r="S642" t="str">
            <v xml:space="preserve"> - </v>
          </cell>
          <cell r="T642">
            <v>0</v>
          </cell>
        </row>
        <row r="643">
          <cell r="S643" t="str">
            <v xml:space="preserve"> - </v>
          </cell>
          <cell r="T643">
            <v>0</v>
          </cell>
        </row>
        <row r="644">
          <cell r="S644" t="str">
            <v xml:space="preserve"> - </v>
          </cell>
          <cell r="T644">
            <v>0</v>
          </cell>
        </row>
        <row r="645">
          <cell r="S645" t="str">
            <v xml:space="preserve"> - </v>
          </cell>
          <cell r="T645">
            <v>0</v>
          </cell>
        </row>
        <row r="646">
          <cell r="S646" t="str">
            <v xml:space="preserve"> - </v>
          </cell>
          <cell r="T646">
            <v>0</v>
          </cell>
        </row>
        <row r="647">
          <cell r="S647" t="str">
            <v xml:space="preserve"> - </v>
          </cell>
          <cell r="T647">
            <v>0</v>
          </cell>
        </row>
        <row r="648">
          <cell r="S648" t="str">
            <v xml:space="preserve"> - </v>
          </cell>
          <cell r="T648">
            <v>0</v>
          </cell>
        </row>
        <row r="649">
          <cell r="S649" t="str">
            <v xml:space="preserve"> - </v>
          </cell>
          <cell r="T649">
            <v>0</v>
          </cell>
        </row>
        <row r="650">
          <cell r="S650" t="str">
            <v xml:space="preserve"> - </v>
          </cell>
          <cell r="T650">
            <v>0</v>
          </cell>
        </row>
        <row r="651">
          <cell r="S651" t="str">
            <v xml:space="preserve"> - </v>
          </cell>
          <cell r="T651">
            <v>0</v>
          </cell>
        </row>
        <row r="652">
          <cell r="S652" t="str">
            <v xml:space="preserve"> - </v>
          </cell>
          <cell r="T652">
            <v>0</v>
          </cell>
        </row>
        <row r="653">
          <cell r="S653" t="str">
            <v xml:space="preserve"> - </v>
          </cell>
          <cell r="T653">
            <v>0</v>
          </cell>
        </row>
        <row r="654">
          <cell r="S654" t="str">
            <v xml:space="preserve"> - </v>
          </cell>
          <cell r="T654">
            <v>0</v>
          </cell>
        </row>
        <row r="655">
          <cell r="S655" t="str">
            <v xml:space="preserve"> - </v>
          </cell>
          <cell r="T655">
            <v>0</v>
          </cell>
        </row>
        <row r="656">
          <cell r="S656" t="str">
            <v xml:space="preserve"> - </v>
          </cell>
          <cell r="T656">
            <v>0</v>
          </cell>
        </row>
        <row r="657">
          <cell r="S657" t="str">
            <v xml:space="preserve"> - </v>
          </cell>
          <cell r="T657">
            <v>0</v>
          </cell>
        </row>
        <row r="658">
          <cell r="S658" t="str">
            <v xml:space="preserve"> - </v>
          </cell>
          <cell r="T658">
            <v>0</v>
          </cell>
        </row>
        <row r="659">
          <cell r="S659" t="str">
            <v xml:space="preserve"> - </v>
          </cell>
          <cell r="T659">
            <v>0</v>
          </cell>
        </row>
        <row r="660">
          <cell r="S660" t="str">
            <v xml:space="preserve"> - </v>
          </cell>
          <cell r="T660">
            <v>0</v>
          </cell>
        </row>
        <row r="661">
          <cell r="S661" t="str">
            <v xml:space="preserve"> - </v>
          </cell>
          <cell r="T661">
            <v>0</v>
          </cell>
        </row>
        <row r="662">
          <cell r="S662" t="str">
            <v xml:space="preserve"> - </v>
          </cell>
          <cell r="T662">
            <v>0</v>
          </cell>
        </row>
        <row r="663">
          <cell r="S663" t="str">
            <v xml:space="preserve"> - </v>
          </cell>
          <cell r="T663">
            <v>0</v>
          </cell>
        </row>
        <row r="664">
          <cell r="S664" t="str">
            <v xml:space="preserve"> - </v>
          </cell>
          <cell r="T664">
            <v>0</v>
          </cell>
        </row>
        <row r="665">
          <cell r="S665" t="str">
            <v xml:space="preserve"> - </v>
          </cell>
          <cell r="T665">
            <v>0</v>
          </cell>
        </row>
        <row r="666">
          <cell r="S666" t="str">
            <v xml:space="preserve"> - </v>
          </cell>
          <cell r="T666">
            <v>0</v>
          </cell>
        </row>
        <row r="667">
          <cell r="S667" t="str">
            <v xml:space="preserve"> - </v>
          </cell>
          <cell r="T667">
            <v>0</v>
          </cell>
        </row>
        <row r="668">
          <cell r="S668" t="str">
            <v xml:space="preserve"> - </v>
          </cell>
          <cell r="T668">
            <v>0</v>
          </cell>
        </row>
        <row r="669">
          <cell r="S669" t="str">
            <v xml:space="preserve"> - </v>
          </cell>
          <cell r="T669">
            <v>0</v>
          </cell>
        </row>
        <row r="670">
          <cell r="S670" t="str">
            <v xml:space="preserve"> - </v>
          </cell>
          <cell r="T670">
            <v>0</v>
          </cell>
        </row>
        <row r="671">
          <cell r="S671" t="str">
            <v xml:space="preserve"> - </v>
          </cell>
          <cell r="T671">
            <v>0</v>
          </cell>
        </row>
      </sheetData>
      <sheetData sheetId="3">
        <row r="3">
          <cell r="E3" t="str">
            <v>Weekly Work Plan SKO - W32</v>
          </cell>
        </row>
      </sheetData>
      <sheetData sheetId="4">
        <row r="39">
          <cell r="L39">
            <v>0</v>
          </cell>
        </row>
      </sheetData>
      <sheetData sheetId="5">
        <row r="39">
          <cell r="L39">
            <v>38</v>
          </cell>
        </row>
      </sheetData>
      <sheetData sheetId="6"/>
      <sheetData sheetId="7"/>
      <sheetData sheetId="8"/>
      <sheetData sheetId="9">
        <row r="1">
          <cell r="Y1">
            <v>462.03277777758194</v>
          </cell>
        </row>
        <row r="5">
          <cell r="Y5">
            <v>168</v>
          </cell>
          <cell r="Z5" t="str">
            <v>777 - Unscheduled Repair - Workshop - Prev</v>
          </cell>
          <cell r="AA5"/>
        </row>
        <row r="6">
          <cell r="Y6">
            <v>47.009999999951106</v>
          </cell>
          <cell r="Z6" t="str">
            <v>777 - Unscheduled Repair - Workshop - Prev</v>
          </cell>
          <cell r="AA6"/>
        </row>
        <row r="7">
          <cell r="Y7">
            <v>95.011388888815418</v>
          </cell>
          <cell r="Z7" t="str">
            <v>777 - Unscheduled Repair - Workshop - Prev</v>
          </cell>
          <cell r="AA7"/>
        </row>
        <row r="8">
          <cell r="Y8"/>
          <cell r="Z8" t="str">
            <v>777 - Unscheduled Repair - Workshop - Prev</v>
          </cell>
          <cell r="AA8"/>
        </row>
        <row r="9">
          <cell r="Y9">
            <v>41.011388888815418</v>
          </cell>
          <cell r="Z9" t="str">
            <v>777 - Unscheduled Repair - Workshop - Prev</v>
          </cell>
          <cell r="AA9"/>
        </row>
        <row r="10">
          <cell r="Y10">
            <v>53.000000000058208</v>
          </cell>
          <cell r="Z10" t="str">
            <v>390DL - Scheduled PM Downtime - Prev</v>
          </cell>
          <cell r="AA10"/>
        </row>
        <row r="11">
          <cell r="Y11">
            <v>12.999999999941792</v>
          </cell>
          <cell r="Z11" t="str">
            <v>777 - Scheduled PM Downtime - Prev</v>
          </cell>
          <cell r="AA11"/>
        </row>
        <row r="12">
          <cell r="Y12">
            <v>45</v>
          </cell>
          <cell r="Z12" t="str">
            <v>777 - Scheduled PM Downtime - Prev</v>
          </cell>
          <cell r="AA12"/>
        </row>
        <row r="13">
          <cell r="Y13"/>
          <cell r="AA13"/>
        </row>
        <row r="14">
          <cell r="Y14"/>
          <cell r="AA14"/>
        </row>
        <row r="15">
          <cell r="Y15"/>
          <cell r="AA15"/>
        </row>
        <row r="16">
          <cell r="Y16"/>
          <cell r="AA16"/>
        </row>
        <row r="17">
          <cell r="Y17"/>
          <cell r="AA17"/>
        </row>
        <row r="18">
          <cell r="Y18"/>
          <cell r="AA18"/>
        </row>
        <row r="19">
          <cell r="Y19"/>
          <cell r="AA19"/>
        </row>
        <row r="20">
          <cell r="Y20"/>
          <cell r="AA20"/>
        </row>
        <row r="21">
          <cell r="Y21"/>
          <cell r="AA21"/>
        </row>
        <row r="22">
          <cell r="Y22"/>
          <cell r="AA22"/>
        </row>
        <row r="23">
          <cell r="Y23"/>
          <cell r="AA23"/>
        </row>
        <row r="24">
          <cell r="Y24"/>
          <cell r="AA24"/>
        </row>
        <row r="25">
          <cell r="Y25"/>
          <cell r="AA25"/>
        </row>
        <row r="26">
          <cell r="Y26"/>
          <cell r="AA26"/>
        </row>
        <row r="27">
          <cell r="Y27"/>
          <cell r="AA27"/>
        </row>
        <row r="28">
          <cell r="Y28"/>
          <cell r="AA28"/>
        </row>
        <row r="29">
          <cell r="Y29"/>
          <cell r="AA29">
            <v>6.9999999999417923</v>
          </cell>
          <cell r="AB29" t="str">
            <v>777 - Scheduled PM Downtime - Next</v>
          </cell>
        </row>
        <row r="30">
          <cell r="Y30"/>
          <cell r="AA30"/>
          <cell r="AB30" t="str">
            <v>785 - Scheduled PM Downtime - Next</v>
          </cell>
        </row>
        <row r="31">
          <cell r="Y31"/>
          <cell r="AA31">
            <v>12</v>
          </cell>
          <cell r="AB31" t="str">
            <v>390DL - Scheduled PM Downtime - Next</v>
          </cell>
        </row>
        <row r="32">
          <cell r="Y32"/>
          <cell r="AA32">
            <v>20.000000000058208</v>
          </cell>
          <cell r="AB32" t="str">
            <v>777 - Scheduled PM Downtime - Next</v>
          </cell>
        </row>
        <row r="33">
          <cell r="Y33">
            <v>0</v>
          </cell>
          <cell r="AA33">
            <v>30.999999999941792</v>
          </cell>
          <cell r="AB33" t="str">
            <v>777 - Scheduled PM Downtime - Next</v>
          </cell>
        </row>
        <row r="34">
          <cell r="Y34">
            <v>0</v>
          </cell>
          <cell r="AA34">
            <v>8.0000000000582077</v>
          </cell>
          <cell r="AB34" t="str">
            <v>777 - Scheduled PM Downtime - Next</v>
          </cell>
        </row>
        <row r="35">
          <cell r="Y35">
            <v>0</v>
          </cell>
          <cell r="AA35">
            <v>0.99999999994179234</v>
          </cell>
          <cell r="AB35" t="str">
            <v>777 - Scheduled PM Downtime - Next</v>
          </cell>
        </row>
        <row r="36">
          <cell r="Y36">
            <v>0</v>
          </cell>
          <cell r="AA36">
            <v>32.000000000058208</v>
          </cell>
          <cell r="AB36" t="str">
            <v>777 - Scheduled PM Downtime - Next</v>
          </cell>
        </row>
      </sheetData>
      <sheetData sheetId="10">
        <row r="39">
          <cell r="L39" t="str">
            <v>777 - Scheduled PCR Task Downtime - Next</v>
          </cell>
        </row>
      </sheetData>
      <sheetData sheetId="11">
        <row r="34">
          <cell r="H34">
            <v>0.87</v>
          </cell>
        </row>
      </sheetData>
      <sheetData sheetId="12">
        <row r="39">
          <cell r="L39" t="str">
            <v>390DL - Scheduled PCR Task Downtime - Next</v>
          </cell>
        </row>
      </sheetData>
      <sheetData sheetId="13">
        <row r="39">
          <cell r="L39" t="str">
            <v>320D - Scheduled PCR Task Downtime - Next</v>
          </cell>
        </row>
      </sheetData>
      <sheetData sheetId="14"/>
      <sheetData sheetId="15">
        <row r="39">
          <cell r="L39">
            <v>0</v>
          </cell>
        </row>
      </sheetData>
      <sheetData sheetId="16">
        <row r="1">
          <cell r="C1">
            <v>32</v>
          </cell>
        </row>
        <row r="2">
          <cell r="D2" t="str">
            <v>SKO 01</v>
          </cell>
          <cell r="E2" t="str">
            <v>W01</v>
          </cell>
          <cell r="F2" t="str">
            <v>Weekly Work Plan SKO - W01</v>
          </cell>
          <cell r="G2">
            <v>42364</v>
          </cell>
          <cell r="H2">
            <v>42370</v>
          </cell>
          <cell r="I2" t="str">
            <v>26-December-2015</v>
          </cell>
          <cell r="J2" t="str">
            <v>01-January-2016</v>
          </cell>
          <cell r="K2" t="str">
            <v>(26-December-2015  -  01-January-2016)</v>
          </cell>
        </row>
        <row r="3">
          <cell r="D3" t="str">
            <v>SKO 02</v>
          </cell>
          <cell r="E3" t="str">
            <v>W02</v>
          </cell>
          <cell r="F3" t="str">
            <v>Weekly Work Plan SKO - W02</v>
          </cell>
          <cell r="G3">
            <v>42371</v>
          </cell>
          <cell r="H3">
            <v>42377</v>
          </cell>
          <cell r="I3" t="str">
            <v>02-January-2016</v>
          </cell>
          <cell r="J3" t="str">
            <v>08-January-2016</v>
          </cell>
          <cell r="K3" t="str">
            <v>(02-January-2016  -  08-January-2016)</v>
          </cell>
        </row>
        <row r="4">
          <cell r="D4" t="str">
            <v>SKO 03</v>
          </cell>
          <cell r="E4" t="str">
            <v>W03</v>
          </cell>
          <cell r="F4" t="str">
            <v>Weekly Work Plan SKO - W03</v>
          </cell>
          <cell r="G4">
            <v>42378</v>
          </cell>
          <cell r="H4">
            <v>42384</v>
          </cell>
          <cell r="I4" t="str">
            <v>09-January-2016</v>
          </cell>
          <cell r="J4" t="str">
            <v>15-January-2016</v>
          </cell>
          <cell r="K4" t="str">
            <v>(09-January-2016  -  15-January-2016)</v>
          </cell>
        </row>
        <row r="5">
          <cell r="D5" t="str">
            <v>SKO 04</v>
          </cell>
          <cell r="E5" t="str">
            <v>W04</v>
          </cell>
          <cell r="F5" t="str">
            <v>Weekly Work Plan SKO - W04</v>
          </cell>
          <cell r="G5">
            <v>42385</v>
          </cell>
          <cell r="H5">
            <v>42391</v>
          </cell>
          <cell r="I5" t="str">
            <v>16-January-2016</v>
          </cell>
          <cell r="J5" t="str">
            <v>22-January-2016</v>
          </cell>
          <cell r="K5" t="str">
            <v>(16-January-2016  -  22-January-2016)</v>
          </cell>
        </row>
        <row r="6">
          <cell r="D6" t="str">
            <v>SKO 05</v>
          </cell>
          <cell r="E6" t="str">
            <v>W05</v>
          </cell>
          <cell r="F6" t="str">
            <v>Weekly Work Plan SKO - W05</v>
          </cell>
          <cell r="G6">
            <v>42392</v>
          </cell>
          <cell r="H6">
            <v>42398</v>
          </cell>
          <cell r="I6" t="str">
            <v>23-January-2016</v>
          </cell>
          <cell r="J6" t="str">
            <v>29-January-2016</v>
          </cell>
          <cell r="K6" t="str">
            <v>(23-January-2016  -  29-January-2016)</v>
          </cell>
        </row>
        <row r="7">
          <cell r="D7" t="str">
            <v>SKO 06</v>
          </cell>
          <cell r="E7" t="str">
            <v>W06</v>
          </cell>
          <cell r="F7" t="str">
            <v>Weekly Work Plan SKO - W06</v>
          </cell>
          <cell r="G7">
            <v>42399</v>
          </cell>
          <cell r="H7">
            <v>42405</v>
          </cell>
          <cell r="I7" t="str">
            <v>30-January-2016</v>
          </cell>
          <cell r="J7" t="str">
            <v>05-February-2016</v>
          </cell>
          <cell r="K7" t="str">
            <v>(30-January-2016  -  05-February-2016)</v>
          </cell>
        </row>
        <row r="8">
          <cell r="D8" t="str">
            <v>SKO 07</v>
          </cell>
          <cell r="E8" t="str">
            <v>W07</v>
          </cell>
          <cell r="F8" t="str">
            <v>Weekly Work Plan SKO - W07</v>
          </cell>
          <cell r="G8">
            <v>42406</v>
          </cell>
          <cell r="H8">
            <v>42412</v>
          </cell>
          <cell r="I8" t="str">
            <v>06-February-2016</v>
          </cell>
          <cell r="J8" t="str">
            <v>12-February-2016</v>
          </cell>
          <cell r="K8" t="str">
            <v>(06-February-2016  -  12-February-2016)</v>
          </cell>
        </row>
        <row r="9">
          <cell r="D9" t="str">
            <v>SKO 08</v>
          </cell>
          <cell r="E9" t="str">
            <v>W08</v>
          </cell>
          <cell r="F9" t="str">
            <v>Weekly Work Plan SKO - W08</v>
          </cell>
          <cell r="G9">
            <v>42413</v>
          </cell>
          <cell r="H9">
            <v>42419</v>
          </cell>
          <cell r="I9" t="str">
            <v>13-February-2016</v>
          </cell>
          <cell r="J9" t="str">
            <v>19-February-2016</v>
          </cell>
          <cell r="K9" t="str">
            <v>(13-February-2016  -  19-February-2016)</v>
          </cell>
        </row>
        <row r="10">
          <cell r="D10" t="str">
            <v>SKO 09</v>
          </cell>
          <cell r="E10" t="str">
            <v>W09</v>
          </cell>
          <cell r="F10" t="str">
            <v>Weekly Work Plan SKO - W09</v>
          </cell>
          <cell r="G10">
            <v>42420</v>
          </cell>
          <cell r="H10">
            <v>42426</v>
          </cell>
          <cell r="I10" t="str">
            <v>20-February-2016</v>
          </cell>
          <cell r="J10" t="str">
            <v>26-February-2016</v>
          </cell>
          <cell r="K10" t="str">
            <v>(20-February-2016  -  26-February-2016)</v>
          </cell>
        </row>
        <row r="11">
          <cell r="D11" t="str">
            <v>SKO 10</v>
          </cell>
          <cell r="E11" t="str">
            <v>W10</v>
          </cell>
          <cell r="F11" t="str">
            <v>Weekly Work Plan SKO - W10</v>
          </cell>
          <cell r="G11">
            <v>42427</v>
          </cell>
          <cell r="H11">
            <v>42433</v>
          </cell>
          <cell r="I11" t="str">
            <v>27-February-2016</v>
          </cell>
          <cell r="J11" t="str">
            <v>04-March-2016</v>
          </cell>
          <cell r="K11" t="str">
            <v>(27-February-2016  -  04-March-2016)</v>
          </cell>
        </row>
        <row r="12">
          <cell r="D12" t="str">
            <v>SKO 11</v>
          </cell>
          <cell r="E12" t="str">
            <v>W11</v>
          </cell>
          <cell r="F12" t="str">
            <v>Weekly Work Plan SKO - W11</v>
          </cell>
          <cell r="G12">
            <v>42434</v>
          </cell>
          <cell r="H12">
            <v>42440</v>
          </cell>
          <cell r="I12" t="str">
            <v>05-March-2016</v>
          </cell>
          <cell r="J12" t="str">
            <v>11-March-2016</v>
          </cell>
          <cell r="K12" t="str">
            <v>(05-March-2016  -  11-March-2016)</v>
          </cell>
        </row>
        <row r="13">
          <cell r="D13" t="str">
            <v>SKO 12</v>
          </cell>
          <cell r="E13" t="str">
            <v>W12</v>
          </cell>
          <cell r="F13" t="str">
            <v>Weekly Work Plan SKO - W12</v>
          </cell>
          <cell r="G13">
            <v>42441</v>
          </cell>
          <cell r="H13">
            <v>42447</v>
          </cell>
          <cell r="I13" t="str">
            <v>12-March-2016</v>
          </cell>
          <cell r="J13" t="str">
            <v>18-March-2016</v>
          </cell>
          <cell r="K13" t="str">
            <v>(12-March-2016  -  18-March-2016)</v>
          </cell>
        </row>
        <row r="14">
          <cell r="D14" t="str">
            <v>SKO 13</v>
          </cell>
          <cell r="E14" t="str">
            <v>W13</v>
          </cell>
          <cell r="F14" t="str">
            <v>Weekly Work Plan SKO - W13</v>
          </cell>
          <cell r="G14">
            <v>42448</v>
          </cell>
          <cell r="H14">
            <v>42454</v>
          </cell>
          <cell r="I14" t="str">
            <v>19-March-2016</v>
          </cell>
          <cell r="J14" t="str">
            <v>25-March-2016</v>
          </cell>
          <cell r="K14" t="str">
            <v>(19-March-2016  -  25-March-2016)</v>
          </cell>
        </row>
        <row r="15">
          <cell r="D15" t="str">
            <v>SKO 14</v>
          </cell>
          <cell r="E15" t="str">
            <v>W14</v>
          </cell>
          <cell r="F15" t="str">
            <v>Weekly Work Plan SKO - W14</v>
          </cell>
          <cell r="G15">
            <v>42455</v>
          </cell>
          <cell r="H15">
            <v>42461</v>
          </cell>
          <cell r="I15" t="str">
            <v>26-March-2016</v>
          </cell>
          <cell r="J15" t="str">
            <v>01-April-2016</v>
          </cell>
          <cell r="K15" t="str">
            <v>(26-March-2016  -  01-April-2016)</v>
          </cell>
        </row>
        <row r="16">
          <cell r="D16" t="str">
            <v>SKO 15</v>
          </cell>
          <cell r="E16" t="str">
            <v>W15</v>
          </cell>
          <cell r="F16" t="str">
            <v>Weekly Work Plan SKO - W15</v>
          </cell>
          <cell r="G16">
            <v>42462</v>
          </cell>
          <cell r="H16">
            <v>42468</v>
          </cell>
          <cell r="I16" t="str">
            <v>02-April-2016</v>
          </cell>
          <cell r="J16" t="str">
            <v>08-April-2016</v>
          </cell>
          <cell r="K16" t="str">
            <v>(02-April-2016  -  08-April-2016)</v>
          </cell>
        </row>
        <row r="17">
          <cell r="D17" t="str">
            <v>SKO 16</v>
          </cell>
          <cell r="E17" t="str">
            <v>W16</v>
          </cell>
          <cell r="F17" t="str">
            <v>Weekly Work Plan SKO - W16</v>
          </cell>
          <cell r="G17">
            <v>42469</v>
          </cell>
          <cell r="H17">
            <v>42475</v>
          </cell>
          <cell r="I17" t="str">
            <v>09-April-2016</v>
          </cell>
          <cell r="J17" t="str">
            <v>15-April-2016</v>
          </cell>
          <cell r="K17" t="str">
            <v>(09-April-2016  -  15-April-2016)</v>
          </cell>
        </row>
        <row r="18">
          <cell r="D18" t="str">
            <v>SKO 17</v>
          </cell>
          <cell r="E18" t="str">
            <v>W17</v>
          </cell>
          <cell r="F18" t="str">
            <v>Weekly Work Plan SKO - W17</v>
          </cell>
          <cell r="G18">
            <v>42476</v>
          </cell>
          <cell r="H18">
            <v>42482</v>
          </cell>
          <cell r="I18" t="str">
            <v>16-April-2016</v>
          </cell>
          <cell r="J18" t="str">
            <v>22-April-2016</v>
          </cell>
          <cell r="K18" t="str">
            <v>(16-April-2016  -  22-April-2016)</v>
          </cell>
        </row>
        <row r="19">
          <cell r="D19" t="str">
            <v>SKO 18</v>
          </cell>
          <cell r="E19" t="str">
            <v>W18</v>
          </cell>
          <cell r="F19" t="str">
            <v>Weekly Work Plan SKO - W18</v>
          </cell>
          <cell r="G19">
            <v>42483</v>
          </cell>
          <cell r="H19">
            <v>42489</v>
          </cell>
          <cell r="I19" t="str">
            <v>23-April-2016</v>
          </cell>
          <cell r="J19" t="str">
            <v>29-April-2016</v>
          </cell>
          <cell r="K19" t="str">
            <v>(23-April-2016  -  29-April-2016)</v>
          </cell>
        </row>
        <row r="20">
          <cell r="D20" t="str">
            <v>SKO 19</v>
          </cell>
          <cell r="E20" t="str">
            <v>W19</v>
          </cell>
          <cell r="F20" t="str">
            <v>Weekly Work Plan SKO - W19</v>
          </cell>
          <cell r="G20">
            <v>42490</v>
          </cell>
          <cell r="H20">
            <v>42496</v>
          </cell>
          <cell r="I20" t="str">
            <v>30-April-2016</v>
          </cell>
          <cell r="J20" t="str">
            <v>06-May-2016</v>
          </cell>
          <cell r="K20" t="str">
            <v>(30-April-2016  -  06-May-2016)</v>
          </cell>
        </row>
        <row r="21">
          <cell r="D21" t="str">
            <v>SKO 20</v>
          </cell>
          <cell r="E21" t="str">
            <v>W20</v>
          </cell>
          <cell r="F21" t="str">
            <v>Weekly Work Plan SKO - W20</v>
          </cell>
          <cell r="G21">
            <v>42497</v>
          </cell>
          <cell r="H21">
            <v>42503</v>
          </cell>
          <cell r="I21" t="str">
            <v>07-May-2016</v>
          </cell>
          <cell r="J21" t="str">
            <v>13-May-2016</v>
          </cell>
          <cell r="K21" t="str">
            <v>(07-May-2016  -  13-May-2016)</v>
          </cell>
        </row>
        <row r="22">
          <cell r="D22" t="str">
            <v>SKO 21</v>
          </cell>
          <cell r="E22" t="str">
            <v>W21</v>
          </cell>
          <cell r="F22" t="str">
            <v>Weekly Work Plan SKO - W21</v>
          </cell>
          <cell r="G22">
            <v>42504</v>
          </cell>
          <cell r="H22">
            <v>42510</v>
          </cell>
          <cell r="I22" t="str">
            <v>14-May-2016</v>
          </cell>
          <cell r="J22" t="str">
            <v>20-May-2016</v>
          </cell>
          <cell r="K22" t="str">
            <v>(14-May-2016  -  20-May-2016)</v>
          </cell>
        </row>
        <row r="23">
          <cell r="D23" t="str">
            <v>SKO 22</v>
          </cell>
          <cell r="E23" t="str">
            <v>W22</v>
          </cell>
          <cell r="F23" t="str">
            <v>Weekly Work Plan SKO - W22</v>
          </cell>
          <cell r="G23">
            <v>42511</v>
          </cell>
          <cell r="H23">
            <v>42517</v>
          </cell>
          <cell r="I23" t="str">
            <v>21-May-2016</v>
          </cell>
          <cell r="J23" t="str">
            <v>27-May-2016</v>
          </cell>
          <cell r="K23" t="str">
            <v>(21-May-2016  -  27-May-2016)</v>
          </cell>
        </row>
        <row r="24">
          <cell r="D24" t="str">
            <v>SKO 23</v>
          </cell>
          <cell r="E24" t="str">
            <v>W23</v>
          </cell>
          <cell r="F24" t="str">
            <v>Weekly Work Plan SKO - W23</v>
          </cell>
          <cell r="G24">
            <v>42518</v>
          </cell>
          <cell r="H24">
            <v>42524</v>
          </cell>
          <cell r="I24" t="str">
            <v>28-May-2016</v>
          </cell>
          <cell r="J24" t="str">
            <v>03-June-2016</v>
          </cell>
          <cell r="K24" t="str">
            <v>(28-May-2016  -  03-June-2016)</v>
          </cell>
        </row>
        <row r="25">
          <cell r="D25" t="str">
            <v>SKO 24</v>
          </cell>
          <cell r="E25" t="str">
            <v>W24</v>
          </cell>
          <cell r="F25" t="str">
            <v>Weekly Work Plan SKO - W24</v>
          </cell>
          <cell r="G25">
            <v>42525</v>
          </cell>
          <cell r="H25">
            <v>42531</v>
          </cell>
          <cell r="I25" t="str">
            <v>04-June-2016</v>
          </cell>
          <cell r="J25" t="str">
            <v>10-June-2016</v>
          </cell>
          <cell r="K25" t="str">
            <v>(04-June-2016  -  10-June-2016)</v>
          </cell>
        </row>
        <row r="26">
          <cell r="D26" t="str">
            <v>SKO 25</v>
          </cell>
          <cell r="E26" t="str">
            <v>W25</v>
          </cell>
          <cell r="F26" t="str">
            <v>Weekly Work Plan SKO - W25</v>
          </cell>
          <cell r="G26">
            <v>42532</v>
          </cell>
          <cell r="H26">
            <v>42538</v>
          </cell>
          <cell r="I26" t="str">
            <v>11-June-2016</v>
          </cell>
          <cell r="J26" t="str">
            <v>17-June-2016</v>
          </cell>
          <cell r="K26" t="str">
            <v>(11-June-2016  -  17-June-2016)</v>
          </cell>
        </row>
        <row r="27">
          <cell r="D27" t="str">
            <v>SKO 26</v>
          </cell>
          <cell r="E27" t="str">
            <v>W26</v>
          </cell>
          <cell r="F27" t="str">
            <v>Weekly Work Plan SKO - W26</v>
          </cell>
          <cell r="G27">
            <v>42539</v>
          </cell>
          <cell r="H27">
            <v>42545</v>
          </cell>
          <cell r="I27" t="str">
            <v>18-June-2016</v>
          </cell>
          <cell r="J27" t="str">
            <v>24-June-2016</v>
          </cell>
          <cell r="K27" t="str">
            <v>(18-June-2016  -  24-June-2016)</v>
          </cell>
        </row>
        <row r="28">
          <cell r="D28" t="str">
            <v>SKO 27</v>
          </cell>
          <cell r="E28" t="str">
            <v>W27</v>
          </cell>
          <cell r="F28" t="str">
            <v>Weekly Work Plan SKO - W27</v>
          </cell>
          <cell r="G28">
            <v>42546</v>
          </cell>
          <cell r="H28">
            <v>42552</v>
          </cell>
          <cell r="I28" t="str">
            <v>25-June-2016</v>
          </cell>
          <cell r="J28" t="str">
            <v>01-July-2016</v>
          </cell>
          <cell r="K28" t="str">
            <v>(25-June-2016  -  01-July-2016)</v>
          </cell>
        </row>
        <row r="29">
          <cell r="D29" t="str">
            <v>SKO 28</v>
          </cell>
          <cell r="E29" t="str">
            <v>W28</v>
          </cell>
          <cell r="F29" t="str">
            <v>Weekly Work Plan SKO - W28</v>
          </cell>
          <cell r="G29">
            <v>42553</v>
          </cell>
          <cell r="H29">
            <v>42559</v>
          </cell>
          <cell r="I29" t="str">
            <v>02-July-2016</v>
          </cell>
          <cell r="J29" t="str">
            <v>08-July-2016</v>
          </cell>
          <cell r="K29" t="str">
            <v>(02-July-2016  -  08-July-2016)</v>
          </cell>
        </row>
        <row r="30">
          <cell r="D30" t="str">
            <v>SKO 29</v>
          </cell>
          <cell r="E30" t="str">
            <v>W29</v>
          </cell>
          <cell r="F30" t="str">
            <v>Weekly Work Plan SKO - W29</v>
          </cell>
          <cell r="G30">
            <v>42560</v>
          </cell>
          <cell r="H30">
            <v>42566</v>
          </cell>
          <cell r="I30" t="str">
            <v>09-July-2016</v>
          </cell>
          <cell r="J30" t="str">
            <v>15-July-2016</v>
          </cell>
          <cell r="K30" t="str">
            <v>(09-July-2016  -  15-July-2016)</v>
          </cell>
        </row>
        <row r="31">
          <cell r="D31" t="str">
            <v>SKO 30</v>
          </cell>
          <cell r="E31" t="str">
            <v>W30</v>
          </cell>
          <cell r="F31" t="str">
            <v>Weekly Work Plan SKO - W30</v>
          </cell>
          <cell r="G31">
            <v>42567</v>
          </cell>
          <cell r="H31">
            <v>42573</v>
          </cell>
          <cell r="I31" t="str">
            <v>16-July-2016</v>
          </cell>
          <cell r="J31" t="str">
            <v>22-July-2016</v>
          </cell>
          <cell r="K31" t="str">
            <v>(16-July-2016  -  22-July-2016)</v>
          </cell>
        </row>
        <row r="32">
          <cell r="D32" t="str">
            <v>SKO 31</v>
          </cell>
          <cell r="E32" t="str">
            <v>W31</v>
          </cell>
          <cell r="F32" t="str">
            <v>Weekly Work Plan SKO - W31</v>
          </cell>
          <cell r="G32">
            <v>42574</v>
          </cell>
          <cell r="H32">
            <v>42580</v>
          </cell>
          <cell r="I32" t="str">
            <v>23-July-2016</v>
          </cell>
          <cell r="J32" t="str">
            <v>29-July-2016</v>
          </cell>
          <cell r="K32" t="str">
            <v>(23-July-2016  -  29-July-2016)</v>
          </cell>
        </row>
        <row r="33">
          <cell r="D33" t="str">
            <v>SKO 32</v>
          </cell>
          <cell r="E33" t="str">
            <v>W32</v>
          </cell>
          <cell r="F33" t="str">
            <v>Weekly Work Plan SKO - W32</v>
          </cell>
          <cell r="G33">
            <v>42581</v>
          </cell>
          <cell r="H33">
            <v>42587</v>
          </cell>
          <cell r="I33" t="str">
            <v>30-July-2016</v>
          </cell>
          <cell r="J33" t="str">
            <v>05-August-2016</v>
          </cell>
          <cell r="K33" t="str">
            <v>(30-July-2016  -  05-August-2016)</v>
          </cell>
        </row>
        <row r="34">
          <cell r="D34" t="str">
            <v>SKO 33</v>
          </cell>
          <cell r="E34" t="str">
            <v>W33</v>
          </cell>
          <cell r="F34" t="str">
            <v>Weekly Work Plan SKO - W33</v>
          </cell>
          <cell r="G34">
            <v>42588</v>
          </cell>
          <cell r="H34">
            <v>42594</v>
          </cell>
          <cell r="I34" t="str">
            <v>06-August-2016</v>
          </cell>
          <cell r="J34" t="str">
            <v>12-August-2016</v>
          </cell>
          <cell r="K34" t="str">
            <v>(06-August-2016  -  12-August-2016)</v>
          </cell>
        </row>
        <row r="35">
          <cell r="D35" t="str">
            <v>SKO 34</v>
          </cell>
          <cell r="E35" t="str">
            <v>W34</v>
          </cell>
          <cell r="F35" t="str">
            <v>Weekly Work Plan SKO - W34</v>
          </cell>
          <cell r="G35">
            <v>42595</v>
          </cell>
          <cell r="H35">
            <v>42601</v>
          </cell>
          <cell r="I35" t="str">
            <v>13-August-2016</v>
          </cell>
          <cell r="J35" t="str">
            <v>19-August-2016</v>
          </cell>
          <cell r="K35" t="str">
            <v>(13-August-2016  -  19-August-2016)</v>
          </cell>
        </row>
        <row r="36">
          <cell r="D36" t="str">
            <v>SKO 35</v>
          </cell>
          <cell r="E36" t="str">
            <v>W35</v>
          </cell>
          <cell r="F36" t="str">
            <v>Weekly Work Plan SKO - W35</v>
          </cell>
          <cell r="G36">
            <v>42602</v>
          </cell>
          <cell r="H36">
            <v>42608</v>
          </cell>
          <cell r="I36" t="str">
            <v>20-August-2016</v>
          </cell>
          <cell r="J36" t="str">
            <v>26-August-2016</v>
          </cell>
          <cell r="K36" t="str">
            <v>(20-August-2016  -  26-August-2016)</v>
          </cell>
        </row>
        <row r="37">
          <cell r="D37" t="str">
            <v>SKO 36</v>
          </cell>
          <cell r="E37" t="str">
            <v>W36</v>
          </cell>
          <cell r="F37" t="str">
            <v>Weekly Work Plan SKO - W36</v>
          </cell>
          <cell r="G37">
            <v>42609</v>
          </cell>
          <cell r="H37">
            <v>42615</v>
          </cell>
          <cell r="I37" t="str">
            <v>27-August-2016</v>
          </cell>
          <cell r="J37" t="str">
            <v>02-September-2016</v>
          </cell>
          <cell r="K37" t="str">
            <v>(27-August-2016  -  02-September-2016)</v>
          </cell>
        </row>
        <row r="38">
          <cell r="D38" t="str">
            <v>SKO 37</v>
          </cell>
          <cell r="E38" t="str">
            <v>W37</v>
          </cell>
          <cell r="F38" t="str">
            <v>Weekly Work Plan SKO - W37</v>
          </cell>
          <cell r="G38">
            <v>42616</v>
          </cell>
          <cell r="H38">
            <v>42622</v>
          </cell>
          <cell r="I38" t="str">
            <v>03-September-2016</v>
          </cell>
          <cell r="J38" t="str">
            <v>09-September-2016</v>
          </cell>
          <cell r="K38" t="str">
            <v>(03-September-2016  -  09-September-2016)</v>
          </cell>
        </row>
        <row r="39">
          <cell r="D39" t="str">
            <v>SKO 38</v>
          </cell>
          <cell r="E39" t="str">
            <v>W38</v>
          </cell>
          <cell r="F39" t="str">
            <v>Weekly Work Plan SKO - W38</v>
          </cell>
          <cell r="G39">
            <v>42623</v>
          </cell>
          <cell r="H39">
            <v>42629</v>
          </cell>
          <cell r="I39" t="str">
            <v>10-September-2016</v>
          </cell>
          <cell r="J39" t="str">
            <v>16-September-2016</v>
          </cell>
          <cell r="K39" t="str">
            <v>(10-September-2016  -  16-September-2016)</v>
          </cell>
        </row>
        <row r="40">
          <cell r="D40" t="str">
            <v>SKO 39</v>
          </cell>
          <cell r="E40" t="str">
            <v>W39</v>
          </cell>
          <cell r="F40" t="str">
            <v>Weekly Work Plan SKO - W39</v>
          </cell>
          <cell r="G40">
            <v>42630</v>
          </cell>
          <cell r="H40">
            <v>42636</v>
          </cell>
          <cell r="I40" t="str">
            <v>17-September-2016</v>
          </cell>
          <cell r="J40" t="str">
            <v>23-September-2016</v>
          </cell>
          <cell r="K40" t="str">
            <v>(17-September-2016  -  23-September-2016)</v>
          </cell>
        </row>
        <row r="41">
          <cell r="D41" t="str">
            <v>SKO 40</v>
          </cell>
          <cell r="E41" t="str">
            <v>W40</v>
          </cell>
          <cell r="F41" t="str">
            <v>Weekly Work Plan SKO - W40</v>
          </cell>
          <cell r="G41">
            <v>42637</v>
          </cell>
          <cell r="H41">
            <v>42643</v>
          </cell>
          <cell r="I41" t="str">
            <v>24-September-2016</v>
          </cell>
          <cell r="J41" t="str">
            <v>30-September-2016</v>
          </cell>
          <cell r="K41" t="str">
            <v>(24-September-2016  -  30-September-2016)</v>
          </cell>
        </row>
        <row r="42">
          <cell r="D42" t="str">
            <v>SKO 41</v>
          </cell>
          <cell r="E42" t="str">
            <v>W41</v>
          </cell>
          <cell r="F42" t="str">
            <v>Weekly Work Plan SKO - W41</v>
          </cell>
          <cell r="G42">
            <v>42644</v>
          </cell>
          <cell r="H42">
            <v>42650</v>
          </cell>
          <cell r="I42" t="str">
            <v>01-October-2016</v>
          </cell>
          <cell r="J42" t="str">
            <v>07-October-2016</v>
          </cell>
          <cell r="K42" t="str">
            <v>(01-October-2016  -  07-October-2016)</v>
          </cell>
        </row>
        <row r="43">
          <cell r="D43" t="str">
            <v>SKO 42</v>
          </cell>
          <cell r="E43" t="str">
            <v>W42</v>
          </cell>
          <cell r="F43" t="str">
            <v>Weekly Work Plan SKO - W42</v>
          </cell>
          <cell r="G43">
            <v>42651</v>
          </cell>
          <cell r="H43">
            <v>42657</v>
          </cell>
          <cell r="I43" t="str">
            <v>08-October-2016</v>
          </cell>
          <cell r="J43" t="str">
            <v>14-October-2016</v>
          </cell>
          <cell r="K43" t="str">
            <v>(08-October-2016  -  14-October-2016)</v>
          </cell>
        </row>
        <row r="44">
          <cell r="D44" t="str">
            <v>SKO 43</v>
          </cell>
          <cell r="E44" t="str">
            <v>W43</v>
          </cell>
          <cell r="F44" t="str">
            <v>Weekly Work Plan SKO - W43</v>
          </cell>
          <cell r="G44">
            <v>42658</v>
          </cell>
          <cell r="H44">
            <v>42664</v>
          </cell>
          <cell r="I44" t="str">
            <v>15-October-2016</v>
          </cell>
          <cell r="J44" t="str">
            <v>21-October-2016</v>
          </cell>
          <cell r="K44" t="str">
            <v>(15-October-2016  -  21-October-2016)</v>
          </cell>
        </row>
        <row r="45">
          <cell r="D45" t="str">
            <v>SKO 44</v>
          </cell>
          <cell r="E45" t="str">
            <v>W44</v>
          </cell>
          <cell r="F45" t="str">
            <v>Weekly Work Plan SKO - W44</v>
          </cell>
          <cell r="G45">
            <v>42665</v>
          </cell>
          <cell r="H45">
            <v>42671</v>
          </cell>
          <cell r="I45" t="str">
            <v>22-October-2016</v>
          </cell>
          <cell r="J45" t="str">
            <v>28-October-2016</v>
          </cell>
          <cell r="K45" t="str">
            <v>(22-October-2016  -  28-October-2016)</v>
          </cell>
        </row>
        <row r="46">
          <cell r="D46" t="str">
            <v>SKO 45</v>
          </cell>
          <cell r="E46" t="str">
            <v>W45</v>
          </cell>
          <cell r="F46" t="str">
            <v>Weekly Work Plan SKO - W45</v>
          </cell>
          <cell r="G46">
            <v>42672</v>
          </cell>
          <cell r="H46">
            <v>42678</v>
          </cell>
          <cell r="I46" t="str">
            <v>29-October-2016</v>
          </cell>
          <cell r="J46" t="str">
            <v>04-November-2016</v>
          </cell>
          <cell r="K46" t="str">
            <v>(29-October-2016  -  04-November-2016)</v>
          </cell>
        </row>
        <row r="47">
          <cell r="D47" t="str">
            <v>SKO 46</v>
          </cell>
          <cell r="E47" t="str">
            <v>W46</v>
          </cell>
          <cell r="F47" t="str">
            <v>Weekly Work Plan SKO - W46</v>
          </cell>
          <cell r="G47">
            <v>42679</v>
          </cell>
          <cell r="H47">
            <v>42685</v>
          </cell>
          <cell r="I47" t="str">
            <v>05-November-2016</v>
          </cell>
          <cell r="J47" t="str">
            <v>11-November-2016</v>
          </cell>
          <cell r="K47" t="str">
            <v>(05-November-2016  -  11-November-2016)</v>
          </cell>
        </row>
        <row r="48">
          <cell r="D48" t="str">
            <v>SKO 47</v>
          </cell>
          <cell r="E48" t="str">
            <v>W47</v>
          </cell>
          <cell r="F48" t="str">
            <v>Weekly Work Plan SKO - W47</v>
          </cell>
          <cell r="G48">
            <v>42686</v>
          </cell>
          <cell r="H48">
            <v>42692</v>
          </cell>
          <cell r="I48" t="str">
            <v>12-November-2016</v>
          </cell>
          <cell r="J48" t="str">
            <v>18-November-2016</v>
          </cell>
          <cell r="K48" t="str">
            <v>(12-November-2016  -  18-November-2016)</v>
          </cell>
        </row>
        <row r="49">
          <cell r="D49" t="str">
            <v>SKO 48</v>
          </cell>
          <cell r="E49" t="str">
            <v>W48</v>
          </cell>
          <cell r="F49" t="str">
            <v>Weekly Work Plan SKO - W48</v>
          </cell>
          <cell r="G49">
            <v>42693</v>
          </cell>
          <cell r="H49">
            <v>42699</v>
          </cell>
          <cell r="I49" t="str">
            <v>19-November-2016</v>
          </cell>
          <cell r="J49" t="str">
            <v>25-November-2016</v>
          </cell>
          <cell r="K49" t="str">
            <v>(19-November-2016  -  25-November-2016)</v>
          </cell>
        </row>
        <row r="50">
          <cell r="D50" t="str">
            <v>SKO 49</v>
          </cell>
          <cell r="E50" t="str">
            <v>W49</v>
          </cell>
          <cell r="F50" t="str">
            <v>Weekly Work Plan SKO - W49</v>
          </cell>
          <cell r="G50">
            <v>42700</v>
          </cell>
          <cell r="H50">
            <v>42706</v>
          </cell>
          <cell r="I50" t="str">
            <v>26-November-2016</v>
          </cell>
          <cell r="J50" t="str">
            <v>02-December-2016</v>
          </cell>
          <cell r="K50" t="str">
            <v>(26-November-2016  -  02-December-2016)</v>
          </cell>
        </row>
        <row r="51">
          <cell r="D51" t="str">
            <v>SKO 50</v>
          </cell>
          <cell r="E51" t="str">
            <v>W50</v>
          </cell>
          <cell r="F51" t="str">
            <v>Weekly Work Plan SKO - W50</v>
          </cell>
          <cell r="G51">
            <v>42707</v>
          </cell>
          <cell r="H51">
            <v>42713</v>
          </cell>
          <cell r="I51" t="str">
            <v>03-December-2016</v>
          </cell>
          <cell r="J51" t="str">
            <v>09-December-2016</v>
          </cell>
          <cell r="K51" t="str">
            <v>(03-December-2016  -  09-December-2016)</v>
          </cell>
        </row>
        <row r="52">
          <cell r="D52" t="str">
            <v>SKO 51</v>
          </cell>
          <cell r="E52" t="str">
            <v>W51</v>
          </cell>
          <cell r="F52" t="str">
            <v>Weekly Work Plan SKO - W51</v>
          </cell>
          <cell r="G52">
            <v>42714</v>
          </cell>
          <cell r="H52">
            <v>42720</v>
          </cell>
          <cell r="I52" t="str">
            <v>10-December-2016</v>
          </cell>
          <cell r="J52" t="str">
            <v>16-December-2016</v>
          </cell>
          <cell r="K52" t="str">
            <v>(10-December-2016  -  16-December-2016)</v>
          </cell>
        </row>
        <row r="53">
          <cell r="D53" t="str">
            <v>SKO 52</v>
          </cell>
          <cell r="E53" t="str">
            <v>W52</v>
          </cell>
          <cell r="F53" t="str">
            <v>Weekly Work Plan SKO - W52</v>
          </cell>
          <cell r="G53">
            <v>42721</v>
          </cell>
          <cell r="H53">
            <v>42727</v>
          </cell>
          <cell r="I53" t="str">
            <v>17-December-2016</v>
          </cell>
          <cell r="J53" t="str">
            <v>23-December-2016</v>
          </cell>
          <cell r="K53" t="str">
            <v>(17-December-2016  -  23-December-2016)</v>
          </cell>
        </row>
        <row r="54">
          <cell r="D54" t="str">
            <v>SKO 53</v>
          </cell>
          <cell r="E54" t="str">
            <v>W53</v>
          </cell>
          <cell r="F54" t="str">
            <v>Weekly Work Plan SKO - W53</v>
          </cell>
          <cell r="G54">
            <v>42728</v>
          </cell>
          <cell r="H54">
            <v>42734</v>
          </cell>
          <cell r="I54" t="str">
            <v>24-December-2016</v>
          </cell>
          <cell r="J54" t="str">
            <v>30-December-2016</v>
          </cell>
          <cell r="K54" t="str">
            <v>(24-December-2016  -  30-December-2016)</v>
          </cell>
        </row>
        <row r="55">
          <cell r="D55" t="str">
            <v>SKO 54</v>
          </cell>
          <cell r="E55" t="str">
            <v>W54</v>
          </cell>
          <cell r="F55" t="str">
            <v>Weekly Work Plan SKO - W54</v>
          </cell>
          <cell r="G55">
            <v>42735</v>
          </cell>
          <cell r="H55">
            <v>42741</v>
          </cell>
          <cell r="I55" t="str">
            <v>31-December-2016</v>
          </cell>
          <cell r="J55" t="str">
            <v>06-January-2017</v>
          </cell>
          <cell r="K55" t="str">
            <v>(31-December-2016  -  06-January-2017)</v>
          </cell>
        </row>
        <row r="58">
          <cell r="B58" t="str">
            <v>Unit</v>
          </cell>
          <cell r="C58" t="str">
            <v>Model</v>
          </cell>
          <cell r="F58" t="str">
            <v>785 - Scheduled PM Downtime - Prev</v>
          </cell>
          <cell r="G58" t="str">
            <v>785 - Scheduled PM Downtime - Next</v>
          </cell>
        </row>
        <row r="59">
          <cell r="B59" t="str">
            <v>HT2073</v>
          </cell>
          <cell r="C59">
            <v>777</v>
          </cell>
          <cell r="F59" t="str">
            <v>785 - Scheduled PCR Task Downtime - Prev</v>
          </cell>
          <cell r="G59" t="str">
            <v>785 - Scheduled PCR Task Downtime - Next</v>
          </cell>
        </row>
        <row r="60">
          <cell r="B60" t="str">
            <v>HT2074</v>
          </cell>
          <cell r="C60">
            <v>777</v>
          </cell>
          <cell r="F60" t="str">
            <v>785 - Scheduled Backlog Repair - Workshop/Field - Prev</v>
          </cell>
          <cell r="G60" t="str">
            <v>785 - Scheduled Backlog Repair - Workshop/Field - Next</v>
          </cell>
        </row>
        <row r="61">
          <cell r="B61" t="str">
            <v>HT2075</v>
          </cell>
          <cell r="C61">
            <v>777</v>
          </cell>
          <cell r="F61" t="str">
            <v>785 - Scheduled Detection Routines - Prev</v>
          </cell>
          <cell r="G61" t="str">
            <v>785 - Scheduled Detection Routines - Next</v>
          </cell>
        </row>
        <row r="62">
          <cell r="B62" t="str">
            <v>HT2076</v>
          </cell>
          <cell r="C62">
            <v>777</v>
          </cell>
          <cell r="F62" t="str">
            <v>785 - Scheduled Non MARC - Prev</v>
          </cell>
          <cell r="G62" t="str">
            <v>785 - Scheduled Non MARC - Next</v>
          </cell>
        </row>
        <row r="63">
          <cell r="B63" t="str">
            <v>HT2001</v>
          </cell>
          <cell r="C63">
            <v>777</v>
          </cell>
          <cell r="F63" t="str">
            <v>785 - Scheduled Tyre - Prev</v>
          </cell>
          <cell r="G63" t="str">
            <v>785 - Scheduled Tyre - Next</v>
          </cell>
        </row>
        <row r="64">
          <cell r="B64" t="str">
            <v>HT2002</v>
          </cell>
          <cell r="C64">
            <v>777</v>
          </cell>
          <cell r="F64" t="str">
            <v>785 - Scheduled Washing Equipment Downtime - Prev</v>
          </cell>
          <cell r="G64" t="str">
            <v>785 - Scheduled Washing Equipment Downtime - Next</v>
          </cell>
        </row>
        <row r="65">
          <cell r="B65" t="str">
            <v>HT2005</v>
          </cell>
          <cell r="C65">
            <v>777</v>
          </cell>
          <cell r="F65" t="str">
            <v>785 - Scheduled None - Prev</v>
          </cell>
          <cell r="G65" t="str">
            <v>785 - Scheduled None - Next</v>
          </cell>
        </row>
        <row r="66">
          <cell r="B66" t="str">
            <v>HT2006</v>
          </cell>
          <cell r="C66">
            <v>777</v>
          </cell>
          <cell r="F66" t="str">
            <v>785 - Unscheduled PM - Prev</v>
          </cell>
          <cell r="G66" t="str">
            <v>785 - Unscheduled PM - Next</v>
          </cell>
        </row>
        <row r="67">
          <cell r="B67" t="str">
            <v>HT2007</v>
          </cell>
          <cell r="C67">
            <v>777</v>
          </cell>
          <cell r="F67" t="str">
            <v>785 - Unscheduled PCR  - Prev</v>
          </cell>
          <cell r="G67" t="str">
            <v>785 - Unscheduled PCR  - Next</v>
          </cell>
        </row>
        <row r="68">
          <cell r="B68" t="str">
            <v>HT2008</v>
          </cell>
          <cell r="C68">
            <v>777</v>
          </cell>
          <cell r="F68" t="str">
            <v>785 - Unscheduled Repair - Workshop - Prev</v>
          </cell>
          <cell r="G68" t="str">
            <v>785 - Unscheduled Repair - Workshop - Next</v>
          </cell>
        </row>
        <row r="69">
          <cell r="B69" t="str">
            <v>HT2009</v>
          </cell>
          <cell r="C69">
            <v>777</v>
          </cell>
          <cell r="F69" t="str">
            <v>785 - Unscheduled Repair - Field - Prev</v>
          </cell>
          <cell r="G69" t="str">
            <v>785 - Unscheduled Repair - Field - Next</v>
          </cell>
        </row>
        <row r="70">
          <cell r="B70" t="str">
            <v>HT2010</v>
          </cell>
          <cell r="C70">
            <v>777</v>
          </cell>
          <cell r="F70" t="str">
            <v>785 - Unscheduled Non MARC - Prev</v>
          </cell>
          <cell r="G70" t="str">
            <v>785 - Unscheduled Non MARC - Next</v>
          </cell>
        </row>
        <row r="71">
          <cell r="B71" t="str">
            <v>HT2011</v>
          </cell>
          <cell r="C71">
            <v>777</v>
          </cell>
          <cell r="F71" t="str">
            <v>785 - Unscheduled Inspection / Investigate  - Prev</v>
          </cell>
          <cell r="G71" t="str">
            <v>785 - Unscheduled Inspection / Investigate  - Next</v>
          </cell>
        </row>
        <row r="72">
          <cell r="B72" t="str">
            <v>HT2012</v>
          </cell>
          <cell r="C72">
            <v>777</v>
          </cell>
          <cell r="F72" t="str">
            <v>785 - Unscheduled Fuel Lube - Prev</v>
          </cell>
          <cell r="G72" t="str">
            <v>785 - Unscheduled Fuel Lube - Next</v>
          </cell>
        </row>
        <row r="73">
          <cell r="B73" t="str">
            <v>HT2014</v>
          </cell>
          <cell r="C73">
            <v>777</v>
          </cell>
          <cell r="F73" t="str">
            <v>785 - Unscheduled Washing Equipment - Prev</v>
          </cell>
          <cell r="G73" t="str">
            <v>785 - Unscheduled Washing Equipment - Next</v>
          </cell>
        </row>
        <row r="74">
          <cell r="B74" t="str">
            <v>HT2015</v>
          </cell>
          <cell r="C74">
            <v>777</v>
          </cell>
          <cell r="F74" t="str">
            <v>785 - Unscheduled None - Prev</v>
          </cell>
          <cell r="G74" t="str">
            <v>785 - Unscheduled None - Next</v>
          </cell>
        </row>
        <row r="75">
          <cell r="B75" t="str">
            <v>HT2016</v>
          </cell>
          <cell r="C75">
            <v>777</v>
          </cell>
          <cell r="F75" t="str">
            <v>777 - Scheduled PM Downtime - Prev</v>
          </cell>
          <cell r="G75" t="str">
            <v>777 - Scheduled PM Downtime - Next</v>
          </cell>
        </row>
        <row r="76">
          <cell r="B76" t="str">
            <v>HT2017</v>
          </cell>
          <cell r="C76">
            <v>777</v>
          </cell>
          <cell r="F76" t="str">
            <v>777 - Scheduled PCR Task Downtime - Prev</v>
          </cell>
          <cell r="G76" t="str">
            <v>777 - Scheduled PCR Task Downtime - Next</v>
          </cell>
        </row>
        <row r="77">
          <cell r="B77" t="str">
            <v>HT2013</v>
          </cell>
          <cell r="C77">
            <v>777</v>
          </cell>
          <cell r="F77" t="str">
            <v>777 - Scheduled Backlog Repair - Workshop/Field - Prev</v>
          </cell>
          <cell r="G77" t="str">
            <v>777 - Scheduled Backlog Repair - Workshop/Field - Next</v>
          </cell>
        </row>
        <row r="78">
          <cell r="B78" t="str">
            <v>HT2018</v>
          </cell>
          <cell r="C78">
            <v>777</v>
          </cell>
          <cell r="F78" t="str">
            <v>777 - Scheduled Detection Routines - Prev</v>
          </cell>
          <cell r="G78" t="str">
            <v>777 - Scheduled Detection Routines - Next</v>
          </cell>
        </row>
        <row r="79">
          <cell r="B79" t="str">
            <v>HT2019</v>
          </cell>
          <cell r="C79">
            <v>777</v>
          </cell>
          <cell r="F79" t="str">
            <v>777 - Scheduled Non MARC - Prev</v>
          </cell>
          <cell r="G79" t="str">
            <v>777 - Scheduled Non MARC - Next</v>
          </cell>
        </row>
        <row r="80">
          <cell r="B80" t="str">
            <v>HT2020</v>
          </cell>
          <cell r="C80">
            <v>777</v>
          </cell>
          <cell r="F80" t="str">
            <v>777 - Scheduled Tyre - Prev</v>
          </cell>
          <cell r="G80" t="str">
            <v>777 - Scheduled Tyre - Next</v>
          </cell>
        </row>
        <row r="81">
          <cell r="B81" t="str">
            <v>HT2021</v>
          </cell>
          <cell r="C81">
            <v>777</v>
          </cell>
          <cell r="F81" t="str">
            <v>777 - Scheduled Washing Equipment Downtime - Prev</v>
          </cell>
          <cell r="G81" t="str">
            <v>777 - Scheduled Washing Equipment Downtime - Next</v>
          </cell>
        </row>
        <row r="82">
          <cell r="B82" t="str">
            <v>HT2022</v>
          </cell>
          <cell r="C82">
            <v>777</v>
          </cell>
          <cell r="F82" t="str">
            <v>777 - Scheduled None - Prev</v>
          </cell>
          <cell r="G82" t="str">
            <v>777 - Scheduled None - Next</v>
          </cell>
        </row>
        <row r="83">
          <cell r="B83" t="str">
            <v>HT2023</v>
          </cell>
          <cell r="C83">
            <v>777</v>
          </cell>
          <cell r="F83" t="str">
            <v>777 - Unscheduled PM - Prev</v>
          </cell>
          <cell r="G83" t="str">
            <v>777 - Unscheduled PM - Next</v>
          </cell>
        </row>
        <row r="84">
          <cell r="B84" t="str">
            <v>HT2024</v>
          </cell>
          <cell r="C84">
            <v>777</v>
          </cell>
          <cell r="F84" t="str">
            <v>777 - Unscheduled PCR  - Prev</v>
          </cell>
          <cell r="G84" t="str">
            <v>777 - Unscheduled PCR  - Next</v>
          </cell>
        </row>
        <row r="85">
          <cell r="B85" t="str">
            <v>HT2025</v>
          </cell>
          <cell r="C85">
            <v>777</v>
          </cell>
          <cell r="F85" t="str">
            <v>777 - Unscheduled Repair - Workshop - Prev</v>
          </cell>
          <cell r="G85" t="str">
            <v>777 - Unscheduled Repair - Workshop - Next</v>
          </cell>
        </row>
        <row r="86">
          <cell r="B86" t="str">
            <v>HT2026</v>
          </cell>
          <cell r="C86">
            <v>777</v>
          </cell>
          <cell r="F86" t="str">
            <v>777 - Unscheduled Repair - Field - Prev</v>
          </cell>
          <cell r="G86" t="str">
            <v>777 - Unscheduled Repair - Field - Next</v>
          </cell>
        </row>
        <row r="87">
          <cell r="B87" t="str">
            <v>HT2027</v>
          </cell>
          <cell r="C87">
            <v>777</v>
          </cell>
          <cell r="F87" t="str">
            <v>777 - Unscheduled Non MARC - Prev</v>
          </cell>
          <cell r="G87" t="str">
            <v>777 - Unscheduled Non MARC - Next</v>
          </cell>
        </row>
        <row r="88">
          <cell r="B88" t="str">
            <v>HT2028</v>
          </cell>
          <cell r="C88">
            <v>777</v>
          </cell>
          <cell r="F88" t="str">
            <v>777 - Unscheduled Inspection / Investigate  - Prev</v>
          </cell>
          <cell r="G88" t="str">
            <v>777 - Unscheduled Inspection / Investigate  - Next</v>
          </cell>
        </row>
        <row r="89">
          <cell r="B89" t="str">
            <v>HT2029</v>
          </cell>
          <cell r="C89">
            <v>777</v>
          </cell>
          <cell r="F89" t="str">
            <v>777 - Unscheduled Fuel Lube - Prev</v>
          </cell>
          <cell r="G89" t="str">
            <v>777 - Unscheduled Fuel Lube - Next</v>
          </cell>
        </row>
        <row r="90">
          <cell r="B90" t="str">
            <v>HT2030</v>
          </cell>
          <cell r="C90">
            <v>777</v>
          </cell>
          <cell r="F90" t="str">
            <v>777 - Unscheduled Washing Equipment - Prev</v>
          </cell>
          <cell r="G90" t="str">
            <v>777 - Unscheduled Washing Equipment - Next</v>
          </cell>
        </row>
        <row r="91">
          <cell r="B91" t="str">
            <v>HT2031</v>
          </cell>
          <cell r="C91">
            <v>777</v>
          </cell>
          <cell r="F91" t="str">
            <v>777 - Unscheduled None - Prev</v>
          </cell>
          <cell r="G91" t="str">
            <v>777 - Unscheduled None - Next</v>
          </cell>
        </row>
        <row r="92">
          <cell r="B92" t="str">
            <v>HT2032</v>
          </cell>
          <cell r="C92">
            <v>777</v>
          </cell>
          <cell r="F92" t="str">
            <v>390DL - Scheduled PM Downtime - Prev</v>
          </cell>
          <cell r="G92" t="str">
            <v>390DL - Scheduled PM Downtime - Next</v>
          </cell>
        </row>
        <row r="93">
          <cell r="B93" t="str">
            <v>HT2033</v>
          </cell>
          <cell r="C93">
            <v>777</v>
          </cell>
          <cell r="F93" t="str">
            <v>390DL - Scheduled PCR Task Downtime - Prev</v>
          </cell>
          <cell r="G93" t="str">
            <v>390DL - Scheduled PCR Task Downtime - Next</v>
          </cell>
        </row>
        <row r="94">
          <cell r="B94" t="str">
            <v>HT2039</v>
          </cell>
          <cell r="C94">
            <v>777</v>
          </cell>
          <cell r="F94" t="str">
            <v>390DL - Scheduled Backlog Repair - Workshop/Field - Prev</v>
          </cell>
          <cell r="G94" t="str">
            <v>390DL - Scheduled Backlog Repair - Workshop/Field - Next</v>
          </cell>
        </row>
        <row r="95">
          <cell r="B95" t="str">
            <v>HT2035</v>
          </cell>
          <cell r="C95">
            <v>777</v>
          </cell>
          <cell r="F95" t="str">
            <v>390DL - Scheduled Detection Routines - Prev</v>
          </cell>
          <cell r="G95" t="str">
            <v>390DL - Scheduled Detection Routines - Next</v>
          </cell>
        </row>
        <row r="96">
          <cell r="B96" t="str">
            <v>HT2038</v>
          </cell>
          <cell r="C96">
            <v>777</v>
          </cell>
          <cell r="F96" t="str">
            <v>390DL - Scheduled Non MARC - Prev</v>
          </cell>
          <cell r="G96" t="str">
            <v>390DL - Scheduled Non MARC - Next</v>
          </cell>
        </row>
        <row r="97">
          <cell r="B97" t="str">
            <v>HT2040</v>
          </cell>
          <cell r="C97">
            <v>777</v>
          </cell>
          <cell r="F97" t="str">
            <v>390DL - Scheduled Tyre - Prev</v>
          </cell>
          <cell r="G97" t="str">
            <v>390DL - Scheduled Tyre - Next</v>
          </cell>
        </row>
        <row r="98">
          <cell r="B98" t="str">
            <v>HT2036</v>
          </cell>
          <cell r="C98">
            <v>777</v>
          </cell>
          <cell r="F98" t="str">
            <v>390DL - Scheduled Washing Equipment Downtime - Prev</v>
          </cell>
          <cell r="G98" t="str">
            <v>390DL - Scheduled Washing Equipment Downtime - Next</v>
          </cell>
        </row>
        <row r="99">
          <cell r="B99" t="str">
            <v>HT2034</v>
          </cell>
          <cell r="C99">
            <v>777</v>
          </cell>
          <cell r="F99" t="str">
            <v>390DL - Scheduled None - Prev</v>
          </cell>
          <cell r="G99" t="str">
            <v>390DL - Scheduled None - Next</v>
          </cell>
        </row>
        <row r="100">
          <cell r="B100" t="str">
            <v>HT2037</v>
          </cell>
          <cell r="C100">
            <v>777</v>
          </cell>
          <cell r="F100" t="str">
            <v>390DL - Unscheduled PM - Prev</v>
          </cell>
          <cell r="G100" t="str">
            <v>390DL - Unscheduled PM - Next</v>
          </cell>
        </row>
        <row r="101">
          <cell r="B101" t="str">
            <v>HT2042</v>
          </cell>
          <cell r="C101">
            <v>777</v>
          </cell>
          <cell r="F101" t="str">
            <v>390DL - Unscheduled PCR  - Prev</v>
          </cell>
          <cell r="G101" t="str">
            <v>390DL - Unscheduled PCR  - Next</v>
          </cell>
        </row>
        <row r="102">
          <cell r="B102" t="str">
            <v>HT2041</v>
          </cell>
          <cell r="C102">
            <v>777</v>
          </cell>
          <cell r="F102" t="str">
            <v>390DL - Unscheduled Repair - Workshop - Prev</v>
          </cell>
          <cell r="G102" t="str">
            <v>390DL - Unscheduled Repair - Workshop - Next</v>
          </cell>
        </row>
        <row r="103">
          <cell r="B103" t="str">
            <v>HT2043</v>
          </cell>
          <cell r="C103">
            <v>777</v>
          </cell>
          <cell r="F103" t="str">
            <v>390DL - Unscheduled Repair - Field - Prev</v>
          </cell>
          <cell r="G103" t="str">
            <v>390DL - Unscheduled Repair - Field - Next</v>
          </cell>
        </row>
        <row r="104">
          <cell r="B104" t="str">
            <v>HT2044</v>
          </cell>
          <cell r="C104">
            <v>777</v>
          </cell>
          <cell r="F104" t="str">
            <v>390DL - Unscheduled Non MARC - Prev</v>
          </cell>
          <cell r="G104" t="str">
            <v>390DL - Unscheduled Non MARC - Next</v>
          </cell>
        </row>
        <row r="105">
          <cell r="B105" t="str">
            <v>HT2050</v>
          </cell>
          <cell r="C105">
            <v>777</v>
          </cell>
          <cell r="F105" t="str">
            <v>390DL - Unscheduled Inspection / Investigate  - Prev</v>
          </cell>
          <cell r="G105" t="str">
            <v>390DL - Unscheduled Inspection / Investigate  - Next</v>
          </cell>
        </row>
        <row r="106">
          <cell r="B106" t="str">
            <v>HT2045</v>
          </cell>
          <cell r="C106">
            <v>777</v>
          </cell>
          <cell r="F106" t="str">
            <v>390DL - Unscheduled Fuel Lube - Prev</v>
          </cell>
          <cell r="G106" t="str">
            <v>390DL - Unscheduled Fuel Lube - Next</v>
          </cell>
        </row>
        <row r="107">
          <cell r="B107" t="str">
            <v>HT2046</v>
          </cell>
          <cell r="C107">
            <v>777</v>
          </cell>
          <cell r="F107" t="str">
            <v>390DL - Unscheduled Washing Equipment - Prev</v>
          </cell>
          <cell r="G107" t="str">
            <v>390DL - Unscheduled Washing Equipment - Next</v>
          </cell>
        </row>
        <row r="108">
          <cell r="B108" t="str">
            <v>HT2047</v>
          </cell>
          <cell r="C108">
            <v>777</v>
          </cell>
          <cell r="F108" t="str">
            <v>390DL - Unscheduled None - Prev</v>
          </cell>
          <cell r="G108" t="str">
            <v>390DL - Unscheduled None - Next</v>
          </cell>
        </row>
        <row r="109">
          <cell r="B109" t="str">
            <v>HT2048</v>
          </cell>
          <cell r="C109">
            <v>777</v>
          </cell>
        </row>
        <row r="110">
          <cell r="B110" t="str">
            <v>HT2049</v>
          </cell>
          <cell r="C110">
            <v>777</v>
          </cell>
        </row>
        <row r="111">
          <cell r="B111" t="str">
            <v>HT2077</v>
          </cell>
          <cell r="C111">
            <v>777</v>
          </cell>
        </row>
        <row r="112">
          <cell r="B112" t="str">
            <v>HT2078</v>
          </cell>
          <cell r="C112">
            <v>777</v>
          </cell>
        </row>
        <row r="113">
          <cell r="B113" t="str">
            <v>HE4021</v>
          </cell>
          <cell r="C113" t="str">
            <v>390DL</v>
          </cell>
        </row>
        <row r="114">
          <cell r="B114" t="str">
            <v>HE4019</v>
          </cell>
          <cell r="C114" t="str">
            <v>390DL</v>
          </cell>
        </row>
        <row r="115">
          <cell r="B115" t="str">
            <v>HE4020</v>
          </cell>
          <cell r="C115" t="str">
            <v>390DL</v>
          </cell>
        </row>
        <row r="116">
          <cell r="B116" t="str">
            <v>HT2079</v>
          </cell>
          <cell r="C116">
            <v>777</v>
          </cell>
        </row>
        <row r="117">
          <cell r="B117" t="str">
            <v>HT2080</v>
          </cell>
          <cell r="C117">
            <v>777</v>
          </cell>
        </row>
        <row r="118">
          <cell r="B118" t="str">
            <v>HT2081</v>
          </cell>
          <cell r="C118">
            <v>777</v>
          </cell>
        </row>
        <row r="119">
          <cell r="B119" t="str">
            <v>HT2082</v>
          </cell>
          <cell r="C119">
            <v>777</v>
          </cell>
        </row>
        <row r="120">
          <cell r="B120" t="str">
            <v>HT2083</v>
          </cell>
          <cell r="C120">
            <v>777</v>
          </cell>
        </row>
        <row r="121">
          <cell r="B121" t="str">
            <v>HT2084</v>
          </cell>
          <cell r="C121">
            <v>777</v>
          </cell>
        </row>
        <row r="122">
          <cell r="B122" t="str">
            <v>HT2085</v>
          </cell>
          <cell r="C122">
            <v>777</v>
          </cell>
        </row>
        <row r="123">
          <cell r="B123" t="str">
            <v>HT2086</v>
          </cell>
          <cell r="C123">
            <v>777</v>
          </cell>
        </row>
        <row r="124">
          <cell r="B124" t="str">
            <v>HT2087</v>
          </cell>
          <cell r="C124">
            <v>777</v>
          </cell>
        </row>
        <row r="125">
          <cell r="B125" t="str">
            <v>HE1008</v>
          </cell>
          <cell r="C125" t="str">
            <v>320D</v>
          </cell>
        </row>
        <row r="126">
          <cell r="B126" t="str">
            <v>HE1009</v>
          </cell>
          <cell r="C126" t="str">
            <v>320D</v>
          </cell>
        </row>
        <row r="127">
          <cell r="B127" t="str">
            <v>HE1010</v>
          </cell>
          <cell r="C127" t="str">
            <v>320D</v>
          </cell>
        </row>
        <row r="128">
          <cell r="B128" t="str">
            <v>HE1011</v>
          </cell>
          <cell r="C128" t="str">
            <v>320D</v>
          </cell>
        </row>
        <row r="129">
          <cell r="B129" t="str">
            <v>HE1012</v>
          </cell>
          <cell r="C129" t="str">
            <v>320D</v>
          </cell>
        </row>
        <row r="130">
          <cell r="B130" t="str">
            <v>HE1013</v>
          </cell>
          <cell r="C130" t="str">
            <v>320D</v>
          </cell>
        </row>
        <row r="131">
          <cell r="B131" t="str">
            <v>HE1014</v>
          </cell>
          <cell r="C131" t="str">
            <v>320D</v>
          </cell>
        </row>
        <row r="132">
          <cell r="B132" t="str">
            <v>HE1015</v>
          </cell>
          <cell r="C132" t="str">
            <v>320D</v>
          </cell>
        </row>
        <row r="133">
          <cell r="B133" t="str">
            <v>HT2088</v>
          </cell>
          <cell r="C133">
            <v>777</v>
          </cell>
        </row>
        <row r="134">
          <cell r="B134" t="str">
            <v>HT2089</v>
          </cell>
          <cell r="C134">
            <v>777</v>
          </cell>
        </row>
        <row r="135">
          <cell r="B135" t="str">
            <v>HT2090</v>
          </cell>
          <cell r="C135">
            <v>777</v>
          </cell>
        </row>
        <row r="136">
          <cell r="B136" t="str">
            <v>HT2091</v>
          </cell>
          <cell r="C136">
            <v>777</v>
          </cell>
        </row>
        <row r="137">
          <cell r="B137" t="str">
            <v>HT2092</v>
          </cell>
          <cell r="C137">
            <v>777</v>
          </cell>
        </row>
        <row r="138">
          <cell r="B138" t="str">
            <v>HT2093</v>
          </cell>
          <cell r="C138">
            <v>777</v>
          </cell>
        </row>
        <row r="139">
          <cell r="B139" t="str">
            <v>HT4001</v>
          </cell>
          <cell r="C139">
            <v>785</v>
          </cell>
        </row>
        <row r="140">
          <cell r="B140" t="str">
            <v>HT4002</v>
          </cell>
          <cell r="C140">
            <v>785</v>
          </cell>
        </row>
        <row r="141">
          <cell r="B141" t="str">
            <v>HT4003</v>
          </cell>
          <cell r="C141">
            <v>785</v>
          </cell>
        </row>
        <row r="142">
          <cell r="B142" t="str">
            <v>HT4004</v>
          </cell>
          <cell r="C142">
            <v>785</v>
          </cell>
        </row>
        <row r="143">
          <cell r="B143" t="str">
            <v>HE4022</v>
          </cell>
          <cell r="C143" t="str">
            <v>390DL</v>
          </cell>
        </row>
        <row r="144">
          <cell r="B144" t="str">
            <v>HE4023</v>
          </cell>
          <cell r="C144" t="str">
            <v>390DL</v>
          </cell>
        </row>
        <row r="145">
          <cell r="B145" t="str">
            <v>HE4024</v>
          </cell>
          <cell r="C145" t="str">
            <v>390DL</v>
          </cell>
        </row>
        <row r="146">
          <cell r="B146" t="str">
            <v>HEC401</v>
          </cell>
          <cell r="C146" t="str">
            <v>390DL</v>
          </cell>
        </row>
        <row r="147">
          <cell r="B147" t="str">
            <v>HEC402</v>
          </cell>
          <cell r="C147" t="str">
            <v>390DL</v>
          </cell>
        </row>
        <row r="150">
          <cell r="B150">
            <v>7</v>
          </cell>
        </row>
        <row r="151">
          <cell r="A151">
            <v>1</v>
          </cell>
          <cell r="B151" t="str">
            <v>TAD SIS</v>
          </cell>
        </row>
        <row r="152">
          <cell r="A152">
            <v>2</v>
          </cell>
          <cell r="B152" t="str">
            <v>TAD BUMA</v>
          </cell>
        </row>
        <row r="153">
          <cell r="A153">
            <v>3</v>
          </cell>
          <cell r="B153" t="str">
            <v>BKJ SJK</v>
          </cell>
        </row>
        <row r="154">
          <cell r="A154">
            <v>4</v>
          </cell>
          <cell r="B154" t="str">
            <v>BKJ  BUMA</v>
          </cell>
        </row>
        <row r="155">
          <cell r="A155">
            <v>5</v>
          </cell>
          <cell r="B155" t="str">
            <v>GRASSBERG</v>
          </cell>
          <cell r="C155" t="str">
            <v>BKJ  BUMA</v>
          </cell>
        </row>
        <row r="156">
          <cell r="A156">
            <v>6</v>
          </cell>
          <cell r="B156" t="str">
            <v>BATU HIJAU</v>
          </cell>
        </row>
        <row r="157">
          <cell r="A157">
            <v>7</v>
          </cell>
          <cell r="B157" t="str">
            <v>SKO</v>
          </cell>
        </row>
        <row r="158">
          <cell r="A158">
            <v>8</v>
          </cell>
          <cell r="B158" t="str">
            <v>LATI BUMA</v>
          </cell>
        </row>
        <row r="159">
          <cell r="C159" t="str">
            <v>in range YES</v>
          </cell>
          <cell r="D159" t="str">
            <v>No Impact</v>
          </cell>
        </row>
        <row r="160">
          <cell r="C160" t="str">
            <v xml:space="preserve">in range </v>
          </cell>
          <cell r="D160" t="str">
            <v>Impact</v>
          </cell>
        </row>
        <row r="161">
          <cell r="C161" t="str">
            <v xml:space="preserve">out of range </v>
          </cell>
          <cell r="D161" t="str">
            <v>No Impact</v>
          </cell>
        </row>
        <row r="162">
          <cell r="C162" t="str">
            <v>out of range YES</v>
          </cell>
          <cell r="D162" t="str">
            <v>No Impact</v>
          </cell>
        </row>
        <row r="166">
          <cell r="B166">
            <v>1</v>
          </cell>
          <cell r="C166" t="str">
            <v>Effective Working Hours</v>
          </cell>
        </row>
        <row r="167">
          <cell r="B167">
            <v>2</v>
          </cell>
          <cell r="F167" t="str">
            <v>Fix Hours</v>
          </cell>
          <cell r="G167">
            <v>18</v>
          </cell>
        </row>
        <row r="168">
          <cell r="B168">
            <v>3</v>
          </cell>
          <cell r="C168">
            <v>1</v>
          </cell>
          <cell r="F168">
            <v>1</v>
          </cell>
        </row>
        <row r="169">
          <cell r="B169">
            <v>4</v>
          </cell>
          <cell r="C169">
            <v>2</v>
          </cell>
          <cell r="F169">
            <v>2</v>
          </cell>
        </row>
        <row r="170">
          <cell r="B170">
            <v>5</v>
          </cell>
          <cell r="C170">
            <v>3</v>
          </cell>
          <cell r="F170">
            <v>3</v>
          </cell>
        </row>
        <row r="171">
          <cell r="B171">
            <v>6</v>
          </cell>
          <cell r="C171">
            <v>4</v>
          </cell>
          <cell r="F171">
            <v>4</v>
          </cell>
        </row>
        <row r="172">
          <cell r="B172">
            <v>7</v>
          </cell>
          <cell r="C172">
            <v>5</v>
          </cell>
          <cell r="F172">
            <v>5</v>
          </cell>
        </row>
        <row r="173">
          <cell r="B173">
            <v>8</v>
          </cell>
          <cell r="C173">
            <v>6</v>
          </cell>
          <cell r="F173">
            <v>6</v>
          </cell>
        </row>
        <row r="174">
          <cell r="B174">
            <v>9</v>
          </cell>
          <cell r="C174">
            <v>7</v>
          </cell>
          <cell r="F174">
            <v>7</v>
          </cell>
        </row>
        <row r="175">
          <cell r="B175">
            <v>10</v>
          </cell>
          <cell r="C175">
            <v>8</v>
          </cell>
          <cell r="F175">
            <v>8</v>
          </cell>
        </row>
        <row r="176">
          <cell r="B176">
            <v>11</v>
          </cell>
          <cell r="C176">
            <v>9</v>
          </cell>
          <cell r="F176">
            <v>9</v>
          </cell>
        </row>
        <row r="177">
          <cell r="B177">
            <v>12</v>
          </cell>
          <cell r="C177">
            <v>10</v>
          </cell>
          <cell r="F177">
            <v>10</v>
          </cell>
        </row>
        <row r="178">
          <cell r="B178">
            <v>13</v>
          </cell>
          <cell r="C178">
            <v>11</v>
          </cell>
          <cell r="F178">
            <v>11</v>
          </cell>
        </row>
        <row r="179">
          <cell r="B179">
            <v>14</v>
          </cell>
          <cell r="F179">
            <v>12</v>
          </cell>
        </row>
        <row r="180">
          <cell r="B180">
            <v>15</v>
          </cell>
          <cell r="C180" t="str">
            <v>By Percentage</v>
          </cell>
          <cell r="F180">
            <v>13</v>
          </cell>
        </row>
        <row r="181">
          <cell r="B181">
            <v>16</v>
          </cell>
          <cell r="C181" t="str">
            <v>Fix Hours</v>
          </cell>
          <cell r="F181">
            <v>14</v>
          </cell>
        </row>
        <row r="182">
          <cell r="B182">
            <v>17</v>
          </cell>
          <cell r="C182" t="str">
            <v>Working Hours</v>
          </cell>
          <cell r="F182">
            <v>15</v>
          </cell>
        </row>
        <row r="183">
          <cell r="B183">
            <v>18</v>
          </cell>
          <cell r="C183" t="str">
            <v>Lbr hrs avl</v>
          </cell>
          <cell r="F183">
            <v>16</v>
          </cell>
        </row>
        <row r="184">
          <cell r="B184">
            <v>19</v>
          </cell>
          <cell r="C184" t="str">
            <v>Lbrhrs Forecast</v>
          </cell>
          <cell r="F184">
            <v>17</v>
          </cell>
        </row>
        <row r="185">
          <cell r="B185">
            <v>20</v>
          </cell>
          <cell r="F185">
            <v>18</v>
          </cell>
        </row>
        <row r="186">
          <cell r="B186">
            <v>21</v>
          </cell>
          <cell r="F186">
            <v>19</v>
          </cell>
        </row>
        <row r="187">
          <cell r="B187">
            <v>22</v>
          </cell>
          <cell r="F187">
            <v>20</v>
          </cell>
        </row>
        <row r="188">
          <cell r="B188">
            <v>23</v>
          </cell>
          <cell r="F188">
            <v>21</v>
          </cell>
        </row>
        <row r="189">
          <cell r="B189">
            <v>24</v>
          </cell>
          <cell r="F189">
            <v>22</v>
          </cell>
        </row>
        <row r="190">
          <cell r="B190">
            <v>25</v>
          </cell>
          <cell r="F190">
            <v>23</v>
          </cell>
        </row>
        <row r="191">
          <cell r="B191">
            <v>26</v>
          </cell>
          <cell r="F191">
            <v>24</v>
          </cell>
        </row>
        <row r="192">
          <cell r="B192">
            <v>27</v>
          </cell>
        </row>
        <row r="193">
          <cell r="B193">
            <v>28</v>
          </cell>
        </row>
        <row r="194">
          <cell r="B194">
            <v>29</v>
          </cell>
        </row>
        <row r="195">
          <cell r="B195">
            <v>30</v>
          </cell>
        </row>
        <row r="196">
          <cell r="B196">
            <v>31</v>
          </cell>
        </row>
        <row r="197">
          <cell r="B197">
            <v>32</v>
          </cell>
        </row>
        <row r="198">
          <cell r="B198">
            <v>33</v>
          </cell>
        </row>
        <row r="199">
          <cell r="B199">
            <v>34</v>
          </cell>
        </row>
        <row r="200">
          <cell r="B200">
            <v>35</v>
          </cell>
        </row>
        <row r="201">
          <cell r="B201">
            <v>36</v>
          </cell>
        </row>
        <row r="202">
          <cell r="B202">
            <v>37</v>
          </cell>
        </row>
        <row r="203">
          <cell r="B203">
            <v>38</v>
          </cell>
        </row>
        <row r="204">
          <cell r="B204">
            <v>39</v>
          </cell>
        </row>
        <row r="205">
          <cell r="B205">
            <v>40</v>
          </cell>
        </row>
        <row r="206">
          <cell r="B206">
            <v>41</v>
          </cell>
        </row>
        <row r="207">
          <cell r="B207">
            <v>42</v>
          </cell>
        </row>
        <row r="208">
          <cell r="B208">
            <v>43</v>
          </cell>
        </row>
        <row r="209">
          <cell r="B209">
            <v>44</v>
          </cell>
        </row>
        <row r="210">
          <cell r="B210">
            <v>45</v>
          </cell>
        </row>
        <row r="211">
          <cell r="B211">
            <v>46</v>
          </cell>
        </row>
        <row r="212">
          <cell r="B212">
            <v>47</v>
          </cell>
        </row>
        <row r="213">
          <cell r="B213">
            <v>48</v>
          </cell>
        </row>
        <row r="214">
          <cell r="B214">
            <v>49</v>
          </cell>
        </row>
        <row r="215">
          <cell r="B215">
            <v>50</v>
          </cell>
        </row>
      </sheetData>
      <sheetData sheetId="17"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ll Origin"/>
      <sheetName val="WWP"/>
      <sheetName val="PLAN TASK"/>
      <sheetName val="SPEC BOM"/>
      <sheetName val="SPEC TASK"/>
      <sheetName val="CALL SCRIPT"/>
      <sheetName val="SOS 007"/>
      <sheetName val="SOS 000"/>
      <sheetName val="SUMMARY"/>
      <sheetName val="ONORDER"/>
      <sheetName val="LOOSE"/>
      <sheetName val="ROB"/>
      <sheetName val="CRITICAL"/>
      <sheetName val="SOURCE"/>
      <sheetName val="Sheet3"/>
    </sheetNames>
    <sheetDataSet>
      <sheetData sheetId="0">
        <row r="4">
          <cell r="H4">
            <v>0</v>
          </cell>
        </row>
      </sheetData>
      <sheetData sheetId="1">
        <row r="5">
          <cell r="H5" t="str">
            <v>PM</v>
          </cell>
        </row>
      </sheetData>
      <sheetData sheetId="2">
        <row r="7">
          <cell r="B7" t="str">
            <v>STRATEGY TASK / PLAN TASK</v>
          </cell>
          <cell r="C7"/>
          <cell r="D7" t="str">
            <v>UNIT NUMBERSTRATEGY TASK / PLAN TASK</v>
          </cell>
          <cell r="E7" t="str">
            <v>YES</v>
          </cell>
          <cell r="F7"/>
          <cell r="G7" t="str">
            <v>UNIT NUMBER</v>
          </cell>
          <cell r="I7" t="str">
            <v>STRATEGY TASK / PLAN TASK</v>
          </cell>
          <cell r="J7" t="str">
            <v>YES</v>
          </cell>
        </row>
        <row r="8">
          <cell r="B8" t="str">
            <v>7525.00.PM.0 500 SVC HOUR MAINTENANCE</v>
          </cell>
          <cell r="D8" t="str">
            <v>DT180-057525.00.PM.0 500 SVC HOUR MAINTENANCE</v>
          </cell>
          <cell r="E8" t="str">
            <v>YES</v>
          </cell>
          <cell r="F8" t="str">
            <v>789C-2BW</v>
          </cell>
          <cell r="I8" t="str">
            <v>789C-2BW7525.00.PM.0 500 SVC HOUR MAINTENANCE</v>
          </cell>
          <cell r="J8" t="str">
            <v>YES</v>
          </cell>
        </row>
        <row r="9">
          <cell r="B9" t="str">
            <v>9402.00.CC.0 FRONT WHEEL OIL</v>
          </cell>
          <cell r="D9" t="str">
            <v>DT180-059402.00.CC.0 FRONT WHEEL OIL</v>
          </cell>
          <cell r="E9" t="str">
            <v>YES</v>
          </cell>
          <cell r="F9" t="str">
            <v>789C-2BW</v>
          </cell>
          <cell r="I9" t="str">
            <v>789C-2BW9402.00.CC.0 FRONT WHEEL OIL</v>
          </cell>
          <cell r="J9" t="str">
            <v>YES</v>
          </cell>
        </row>
        <row r="10">
          <cell r="B10" t="str">
            <v>9414.00.CC.0 ENGINE OIL</v>
          </cell>
          <cell r="D10" t="str">
            <v>DT180-059414.00.CC.0 ENGINE OIL</v>
          </cell>
          <cell r="E10" t="str">
            <v>YES</v>
          </cell>
          <cell r="F10" t="str">
            <v>789C-2BW</v>
          </cell>
          <cell r="I10" t="str">
            <v>789C-2BW9414.00.CC.0 ENGINE OIL</v>
          </cell>
          <cell r="J10" t="str">
            <v>YES</v>
          </cell>
        </row>
        <row r="11">
          <cell r="B11" t="str">
            <v>7524.00.RM.0 250 SVC HOUR MAINTENANCE</v>
          </cell>
          <cell r="D11" t="str">
            <v>DT150-067524.00.RM.0 250 SVC HOUR MAINTENANCE</v>
          </cell>
          <cell r="E11" t="str">
            <v>YES</v>
          </cell>
          <cell r="F11" t="str">
            <v>785C-APX</v>
          </cell>
          <cell r="I11" t="str">
            <v>785C-APX7524.00.RM.0 250 SVC HOUR MAINTENANCE</v>
          </cell>
          <cell r="J11" t="str">
            <v>YES</v>
          </cell>
        </row>
        <row r="12">
          <cell r="B12" t="str">
            <v>7526.00.PM.0 1000 SVC HOUR MAINTENANCE</v>
          </cell>
          <cell r="D12" t="str">
            <v>DT180-067526.00.PM.0 1000 SVC HOUR MAINTENANCE</v>
          </cell>
          <cell r="E12" t="str">
            <v>YES</v>
          </cell>
          <cell r="F12" t="str">
            <v>789C-2BW</v>
          </cell>
          <cell r="I12" t="str">
            <v>789C-2BW7526.00.PM.0 1000 SVC HOUR MAINTENANCE</v>
          </cell>
          <cell r="J12" t="str">
            <v>YES</v>
          </cell>
        </row>
        <row r="13">
          <cell r="B13" t="str">
            <v>1054.PY.CC.0 AIR FILTER ELEMENT</v>
          </cell>
          <cell r="D13" t="str">
            <v>DT180-061054.PY.CC.0 AIR FILTER ELEMENT</v>
          </cell>
          <cell r="E13" t="str">
            <v>YES</v>
          </cell>
          <cell r="F13" t="str">
            <v>789C-2BW</v>
          </cell>
          <cell r="I13" t="str">
            <v>789C-2BW1054.PY.CC.0 AIR FILTER ELEMENT</v>
          </cell>
          <cell r="J13" t="str">
            <v>YES</v>
          </cell>
        </row>
        <row r="14">
          <cell r="B14" t="str">
            <v>1102.00.RM.0 ROCKER SHAFT ASSEMBLY</v>
          </cell>
          <cell r="D14" t="str">
            <v>DT180-061102.00.RM.0 ROCKER SHAFT ASSEMBLY</v>
          </cell>
          <cell r="E14" t="str">
            <v>YES</v>
          </cell>
          <cell r="F14" t="str">
            <v>789C-2BW</v>
          </cell>
          <cell r="I14" t="str">
            <v>789C-2BW1102.00.RM.0 ROCKER SHAFT ASSEMBLY</v>
          </cell>
          <cell r="J14" t="str">
            <v>YES</v>
          </cell>
        </row>
        <row r="15">
          <cell r="B15" t="str">
            <v>9402.00.CC.0 FRONT WHEEL OIL</v>
          </cell>
          <cell r="D15" t="str">
            <v>DT180-069402.00.CC.0 FRONT WHEEL OIL</v>
          </cell>
          <cell r="E15" t="str">
            <v>YES</v>
          </cell>
          <cell r="F15" t="str">
            <v>789C-2BW</v>
          </cell>
          <cell r="I15" t="str">
            <v>789C-2BW9402.00.CC.0 FRONT WHEEL OIL</v>
          </cell>
          <cell r="J15" t="str">
            <v>YES</v>
          </cell>
        </row>
        <row r="16">
          <cell r="B16" t="str">
            <v>9414.00.CC.0 ENGINE OIL</v>
          </cell>
          <cell r="D16" t="str">
            <v>DT180-069414.00.CC.0 ENGINE OIL</v>
          </cell>
          <cell r="E16" t="str">
            <v>YES</v>
          </cell>
          <cell r="F16" t="str">
            <v>789C-2BW</v>
          </cell>
          <cell r="I16" t="str">
            <v>789C-2BW9414.00.CC.0 ENGINE OIL</v>
          </cell>
          <cell r="J16" t="str">
            <v>YES</v>
          </cell>
        </row>
        <row r="17">
          <cell r="B17" t="str">
            <v>9415.00.CC.0 TRANS OIL</v>
          </cell>
          <cell r="D17" t="str">
            <v>DT180-069415.00.CC.0 TRANS OIL</v>
          </cell>
          <cell r="E17" t="str">
            <v>YES</v>
          </cell>
          <cell r="F17" t="str">
            <v>789C-2BW</v>
          </cell>
          <cell r="I17" t="str">
            <v>789C-2BW9415.00.CC.0 TRANS OIL</v>
          </cell>
          <cell r="J17" t="str">
            <v>YES</v>
          </cell>
        </row>
        <row r="18">
          <cell r="B18" t="str">
            <v>7524.00.RM.0 250 SVC HOUR MAINTENANCE</v>
          </cell>
          <cell r="D18" t="str">
            <v>DT150-137524.00.RM.0 250 SVC HOUR MAINTENANCE</v>
          </cell>
          <cell r="E18" t="str">
            <v>YES</v>
          </cell>
          <cell r="F18" t="str">
            <v>785C-APX</v>
          </cell>
          <cell r="I18" t="str">
            <v>785C-APX7524.00.RM.0 250 SVC HOUR MAINTENANCE</v>
          </cell>
          <cell r="J18" t="str">
            <v>YES</v>
          </cell>
        </row>
        <row r="19">
          <cell r="B19" t="str">
            <v>7526.00.PM.0 1000 SVC HOUR MAINTENANCE</v>
          </cell>
          <cell r="D19" t="str">
            <v>DT180-087526.00.PM.0 1000 SVC HOUR MAINTENANCE</v>
          </cell>
          <cell r="E19" t="str">
            <v>YES</v>
          </cell>
          <cell r="F19" t="str">
            <v>789C-2BW</v>
          </cell>
          <cell r="I19" t="str">
            <v>789C-2BW7526.00.PM.0 1000 SVC HOUR MAINTENANCE</v>
          </cell>
          <cell r="J19" t="str">
            <v>YES</v>
          </cell>
        </row>
        <row r="20">
          <cell r="B20" t="str">
            <v>1054.PY.CC.0 AIR FILTER ELEMENT</v>
          </cell>
          <cell r="D20" t="str">
            <v>DT180-081054.PY.CC.0 AIR FILTER ELEMENT</v>
          </cell>
          <cell r="E20" t="str">
            <v>YES</v>
          </cell>
          <cell r="F20" t="str">
            <v>789C-2BW</v>
          </cell>
          <cell r="I20" t="str">
            <v>789C-2BW1054.PY.CC.0 AIR FILTER ELEMENT</v>
          </cell>
          <cell r="J20" t="str">
            <v>YES</v>
          </cell>
        </row>
        <row r="21">
          <cell r="B21" t="str">
            <v>1054.SE.CC.0 AIR FILTER ELEMENT</v>
          </cell>
          <cell r="D21" t="str">
            <v>DT180-081054.SE.CC.0 AIR FILTER ELEMENT</v>
          </cell>
          <cell r="E21" t="str">
            <v>YES</v>
          </cell>
          <cell r="F21" t="str">
            <v>789C-2BW</v>
          </cell>
          <cell r="I21" t="str">
            <v>789C-2BW1054.SE.CC.0 AIR FILTER ELEMENT</v>
          </cell>
          <cell r="J21" t="str">
            <v>YES</v>
          </cell>
        </row>
        <row r="22">
          <cell r="B22" t="str">
            <v>1405.BJ.CC.0 ALTERNATOR</v>
          </cell>
          <cell r="D22" t="str">
            <v>DT180-081405.BJ.CC.0 ALTERNATOR</v>
          </cell>
          <cell r="E22" t="str">
            <v>YES</v>
          </cell>
          <cell r="F22" t="str">
            <v>789C-2BW</v>
          </cell>
          <cell r="I22" t="str">
            <v>789C-2BW1405.BJ.CC.0 ALTERNATOR</v>
          </cell>
          <cell r="J22" t="str">
            <v>YES</v>
          </cell>
        </row>
        <row r="23">
          <cell r="B23" t="str">
            <v>1802.BJ.CC.0 REFRIGERANT COMPRESSOR</v>
          </cell>
          <cell r="D23" t="str">
            <v>DT180-081802.BJ.CC.0 REFRIGERANT COMPRESSOR</v>
          </cell>
          <cell r="E23" t="str">
            <v>YES</v>
          </cell>
          <cell r="F23" t="str">
            <v>789C-2BW</v>
          </cell>
          <cell r="I23" t="str">
            <v>789C-2BW1802.BJ.CC.0 REFRIGERANT COMPRESSOR</v>
          </cell>
          <cell r="J23" t="str">
            <v>YES</v>
          </cell>
        </row>
        <row r="24">
          <cell r="B24" t="str">
            <v>7342.KC.CC.0 CAB AIR FILTER</v>
          </cell>
          <cell r="D24" t="str">
            <v>DT180-087342.KC.CC.0 CAB AIR FILTER</v>
          </cell>
          <cell r="E24" t="str">
            <v>YES</v>
          </cell>
          <cell r="F24" t="str">
            <v>789C-2BW</v>
          </cell>
          <cell r="I24" t="str">
            <v>789C-2BW7342.KC.CC.0 CAB AIR FILTER</v>
          </cell>
          <cell r="J24" t="str">
            <v>YES</v>
          </cell>
        </row>
        <row r="25">
          <cell r="B25" t="str">
            <v>7342.KF.CC.0 CAB AIR FILTER</v>
          </cell>
          <cell r="D25" t="str">
            <v>DT180-087342.KF.CC.0 CAB AIR FILTER</v>
          </cell>
          <cell r="E25" t="str">
            <v>YES</v>
          </cell>
          <cell r="F25" t="str">
            <v>789C-2BW</v>
          </cell>
          <cell r="I25" t="str">
            <v>789C-2BW7342.KF.CC.0 CAB AIR FILTER</v>
          </cell>
          <cell r="J25" t="str">
            <v>YES</v>
          </cell>
        </row>
        <row r="26">
          <cell r="B26" t="str">
            <v>9402.00.CC.0 FRONT WHEEL OIL</v>
          </cell>
          <cell r="D26" t="str">
            <v>DT180-089402.00.CC.0 FRONT WHEEL OIL</v>
          </cell>
          <cell r="E26" t="str">
            <v>YES</v>
          </cell>
          <cell r="F26" t="str">
            <v>789C-2BW</v>
          </cell>
          <cell r="I26" t="str">
            <v>789C-2BW9402.00.CC.0 FRONT WHEEL OIL</v>
          </cell>
          <cell r="J26" t="str">
            <v>YES</v>
          </cell>
        </row>
        <row r="27">
          <cell r="B27" t="str">
            <v>9414.00.CC.0 ENGINE OIL</v>
          </cell>
          <cell r="D27" t="str">
            <v>DT180-089414.00.CC.0 ENGINE OIL</v>
          </cell>
          <cell r="E27" t="str">
            <v>YES</v>
          </cell>
          <cell r="F27" t="str">
            <v>789C-2BW</v>
          </cell>
          <cell r="I27" t="str">
            <v>789C-2BW9414.00.CC.0 ENGINE OIL</v>
          </cell>
          <cell r="J27" t="str">
            <v>YES</v>
          </cell>
        </row>
        <row r="28">
          <cell r="B28" t="str">
            <v>9415.00.CC.0 TRANS OIL</v>
          </cell>
          <cell r="D28" t="str">
            <v>DT180-089415.00.CC.0 TRANS OIL</v>
          </cell>
          <cell r="E28" t="str">
            <v>YES</v>
          </cell>
          <cell r="F28" t="str">
            <v>789C-2BW</v>
          </cell>
          <cell r="I28" t="str">
            <v>789C-2BW9415.00.CC.0 TRANS OIL</v>
          </cell>
          <cell r="J28" t="str">
            <v>YES</v>
          </cell>
        </row>
        <row r="29">
          <cell r="B29" t="str">
            <v>7524.00.RM.0 250 SVC HOUR MAINTENANCE</v>
          </cell>
          <cell r="D29" t="str">
            <v>DT150-017524.00.RM.0 250 SVC HOUR MAINTENANCE</v>
          </cell>
          <cell r="E29" t="str">
            <v>YES</v>
          </cell>
          <cell r="F29" t="str">
            <v>785C-APX</v>
          </cell>
          <cell r="I29" t="str">
            <v>785C-APX7524.00.RM.0 250 SVC HOUR MAINTENANCE</v>
          </cell>
          <cell r="J29" t="str">
            <v>YES</v>
          </cell>
        </row>
        <row r="30">
          <cell r="B30" t="str">
            <v>7525.00.PM.0 500 SVC HOUR MAINTENANCE</v>
          </cell>
          <cell r="D30" t="str">
            <v>DT150-057525.00.PM.0 500 SVC HOUR MAINTENANCE</v>
          </cell>
          <cell r="E30" t="str">
            <v>YES</v>
          </cell>
          <cell r="F30" t="str">
            <v>785C-APX</v>
          </cell>
          <cell r="I30" t="str">
            <v>785C-APX7525.00.PM.0 500 SVC HOUR MAINTENANCE</v>
          </cell>
          <cell r="J30" t="str">
            <v>YES</v>
          </cell>
        </row>
        <row r="31">
          <cell r="B31" t="str">
            <v>4008.LR.CC.2RB FINAL DRIVE, BRAKE AND WHEEL</v>
          </cell>
          <cell r="D31" t="str">
            <v>DT150-054008.LR.CC.2RB FINAL DRIVE, BRAKE AND WHEEL</v>
          </cell>
          <cell r="E31" t="str">
            <v>YES</v>
          </cell>
          <cell r="F31" t="str">
            <v>785C-APX</v>
          </cell>
          <cell r="I31" t="str">
            <v>785C-APX4008.LR.CC.2RB FINAL DRIVE, BRAKE AND WHEEL</v>
          </cell>
          <cell r="J31" t="str">
            <v>YES</v>
          </cell>
        </row>
        <row r="32">
          <cell r="B32" t="str">
            <v>9402.00.CC.0 FRONT WHEEL OIL</v>
          </cell>
          <cell r="D32" t="str">
            <v>DT150-059402.00.CC.0 FRONT WHEEL OIL</v>
          </cell>
          <cell r="E32" t="str">
            <v>YES</v>
          </cell>
          <cell r="F32" t="str">
            <v>785C-APX</v>
          </cell>
          <cell r="I32" t="str">
            <v>785C-APX9402.00.CC.0 FRONT WHEEL OIL</v>
          </cell>
          <cell r="J32" t="str">
            <v>YES</v>
          </cell>
        </row>
        <row r="33">
          <cell r="B33" t="str">
            <v>9414.00.CC.0 ENGINE OIL</v>
          </cell>
          <cell r="D33" t="str">
            <v>DT150-059414.00.CC.0 ENGINE OIL</v>
          </cell>
          <cell r="E33" t="str">
            <v>YES</v>
          </cell>
          <cell r="F33" t="str">
            <v>785C-APX</v>
          </cell>
          <cell r="I33" t="str">
            <v>785C-APX9414.00.CC.0 ENGINE OIL</v>
          </cell>
          <cell r="J33" t="str">
            <v>YES</v>
          </cell>
        </row>
        <row r="34">
          <cell r="B34" t="str">
            <v>7526.00.PM.0 1000 SVC HOUR MAINTENANCE</v>
          </cell>
          <cell r="D34" t="str">
            <v>DT150-107526.00.PM.0 1000 SVC HOUR MAINTENANCE</v>
          </cell>
          <cell r="E34" t="str">
            <v>YES</v>
          </cell>
          <cell r="F34" t="str">
            <v>785C-APX</v>
          </cell>
          <cell r="I34" t="str">
            <v>785C-APX7526.00.PM.0 1000 SVC HOUR MAINTENANCE</v>
          </cell>
          <cell r="J34" t="str">
            <v>YES</v>
          </cell>
        </row>
        <row r="35">
          <cell r="B35" t="str">
            <v>1054.PY.CC.0 AIR FILTER ELEMENT</v>
          </cell>
          <cell r="D35" t="str">
            <v>DT150-101054.PY.CC.0 AIR FILTER ELEMENT</v>
          </cell>
          <cell r="E35" t="str">
            <v>YES</v>
          </cell>
          <cell r="F35" t="str">
            <v>785C-APX</v>
          </cell>
          <cell r="I35" t="str">
            <v>785C-APX1054.PY.CC.0 AIR FILTER ELEMENT</v>
          </cell>
          <cell r="J35" t="str">
            <v>YES</v>
          </cell>
        </row>
        <row r="36">
          <cell r="B36" t="str">
            <v>3108.00.CC.2RB PUMP DRIVE GRP</v>
          </cell>
          <cell r="D36" t="str">
            <v>DT150-103108.00.CC.2RB PUMP DRIVE GRP</v>
          </cell>
          <cell r="E36" t="str">
            <v>YES</v>
          </cell>
          <cell r="F36" t="str">
            <v>785C-APX</v>
          </cell>
          <cell r="I36" t="str">
            <v>785C-APX3108.00.CC.2RB PUMP DRIVE GRP</v>
          </cell>
          <cell r="J36" t="str">
            <v>YES</v>
          </cell>
        </row>
        <row r="37">
          <cell r="B37" t="str">
            <v>3251.MV.CC.0 UNIVERSAL JOINT</v>
          </cell>
          <cell r="D37" t="str">
            <v>DT150-103251.MV.CC.0 UNIVERSAL JOINT</v>
          </cell>
          <cell r="E37" t="str">
            <v>YES</v>
          </cell>
          <cell r="F37" t="str">
            <v>785C-APX</v>
          </cell>
          <cell r="I37" t="str">
            <v>785C-APX3251.MV.CC.0 UNIVERSAL JOINT</v>
          </cell>
          <cell r="J37" t="str">
            <v>YES</v>
          </cell>
        </row>
        <row r="38">
          <cell r="B38" t="str">
            <v>3251.PD.CC.0 UNIVERSAL JOINT</v>
          </cell>
          <cell r="D38" t="str">
            <v>DT150-103251.PD.CC.0 UNIVERSAL JOINT</v>
          </cell>
          <cell r="E38" t="str">
            <v>YES</v>
          </cell>
          <cell r="F38" t="str">
            <v>785C-APX</v>
          </cell>
          <cell r="I38" t="str">
            <v>785C-APX3251.PD.CC.0 UNIVERSAL JOINT</v>
          </cell>
          <cell r="J38" t="str">
            <v>YES</v>
          </cell>
        </row>
        <row r="39">
          <cell r="B39" t="str">
            <v>4215.RF.CO.0 WHEEL BEARING - FR</v>
          </cell>
          <cell r="D39" t="str">
            <v>DT150-104215.RF.CO.0 WHEEL BEARING - FR</v>
          </cell>
          <cell r="E39" t="str">
            <v>YES</v>
          </cell>
          <cell r="F39" t="str">
            <v>785C-APX</v>
          </cell>
          <cell r="I39" t="str">
            <v>785C-APX4215.RF.CO.0 WHEEL BEARING - FR</v>
          </cell>
          <cell r="J39" t="str">
            <v>YES</v>
          </cell>
        </row>
        <row r="40">
          <cell r="B40" t="str">
            <v>4251.RF.CC.0 BRAKE GRP</v>
          </cell>
          <cell r="D40" t="str">
            <v>DT150-104251.RF.CC.0 BRAKE GRP</v>
          </cell>
          <cell r="E40" t="str">
            <v>YES</v>
          </cell>
          <cell r="F40" t="str">
            <v>785C-APX</v>
          </cell>
          <cell r="I40" t="str">
            <v>785C-APX4251.RF.CC.0 BRAKE GRP</v>
          </cell>
          <cell r="J40" t="str">
            <v>YES</v>
          </cell>
        </row>
        <row r="41">
          <cell r="B41" t="str">
            <v>4277.FR.CC.0 BRAKE AIR OVER HYDRAULIC CYLINDER</v>
          </cell>
          <cell r="D41" t="str">
            <v>DT150-104277.FR.CC.0 BRAKE AIR OVER HYDRAULIC CYLINDER</v>
          </cell>
          <cell r="E41" t="str">
            <v>YES</v>
          </cell>
          <cell r="F41" t="str">
            <v>785C-APX</v>
          </cell>
          <cell r="I41" t="str">
            <v>785C-APX4277.FR.CC.0 BRAKE AIR OVER HYDRAULIC CYLINDER</v>
          </cell>
          <cell r="J41" t="str">
            <v>YES</v>
          </cell>
        </row>
        <row r="42">
          <cell r="B42" t="str">
            <v>4277.RE.CC.0 BRAKE AIR OVER HYDRAULIC CYLINDER</v>
          </cell>
          <cell r="D42" t="str">
            <v>DT150-104277.RE.CC.0 BRAKE AIR OVER HYDRAULIC CYLINDER</v>
          </cell>
          <cell r="E42" t="str">
            <v>YES</v>
          </cell>
          <cell r="F42" t="str">
            <v>785C-APX</v>
          </cell>
          <cell r="I42" t="str">
            <v>785C-APX4277.RE.CC.0 BRAKE AIR OVER HYDRAULIC CYLINDER</v>
          </cell>
          <cell r="J42" t="str">
            <v>YES</v>
          </cell>
        </row>
        <row r="43">
          <cell r="B43" t="str">
            <v>4303.RI.CC.0 STEERING CYLD</v>
          </cell>
          <cell r="D43" t="str">
            <v>DT150-104303.RI.CC.0 STEERING CYLD</v>
          </cell>
          <cell r="E43" t="str">
            <v>YES</v>
          </cell>
          <cell r="F43" t="str">
            <v>785C-APX</v>
          </cell>
          <cell r="I43" t="str">
            <v>785C-APX4303.RI.CC.0 STEERING CYLD</v>
          </cell>
          <cell r="J43" t="str">
            <v>YES</v>
          </cell>
        </row>
        <row r="44">
          <cell r="B44" t="str">
            <v>4305.CE.CC.0 STEERING LINKAGE</v>
          </cell>
          <cell r="D44" t="str">
            <v>DT150-104305.CE.CC.0 STEERING LINKAGE</v>
          </cell>
          <cell r="E44" t="str">
            <v>YES</v>
          </cell>
          <cell r="F44" t="str">
            <v>785C-APX</v>
          </cell>
          <cell r="I44" t="str">
            <v>785C-APX4305.CE.CC.0 STEERING LINKAGE</v>
          </cell>
          <cell r="J44" t="str">
            <v>YES</v>
          </cell>
        </row>
        <row r="45">
          <cell r="B45" t="str">
            <v>4305.LT.CC.0 STEERING LINKAGE</v>
          </cell>
          <cell r="D45" t="str">
            <v>DT150-104305.LT.CC.0 STEERING LINKAGE</v>
          </cell>
          <cell r="E45" t="str">
            <v>YES</v>
          </cell>
          <cell r="F45" t="str">
            <v>785C-APX</v>
          </cell>
          <cell r="I45" t="str">
            <v>785C-APX4305.LT.CC.0 STEERING LINKAGE</v>
          </cell>
          <cell r="J45" t="str">
            <v>YES</v>
          </cell>
        </row>
        <row r="46">
          <cell r="B46" t="str">
            <v>4305.RI.CC.0 STEERING LINKAGE</v>
          </cell>
          <cell r="D46" t="str">
            <v>DT150-104305.RI.CC.0 STEERING LINKAGE</v>
          </cell>
          <cell r="E46" t="str">
            <v>YES</v>
          </cell>
          <cell r="F46" t="str">
            <v>785C-APX</v>
          </cell>
          <cell r="I46" t="str">
            <v>785C-APX4305.RI.CC.0 STEERING LINKAGE</v>
          </cell>
          <cell r="J46" t="str">
            <v>YES</v>
          </cell>
        </row>
        <row r="47">
          <cell r="B47" t="str">
            <v>4306.00.CC.0 STEERING PUMP</v>
          </cell>
          <cell r="D47" t="str">
            <v>DT150-104306.00.CC.0 STEERING PUMP</v>
          </cell>
          <cell r="E47" t="str">
            <v>YES</v>
          </cell>
          <cell r="F47" t="str">
            <v>785C-APX</v>
          </cell>
          <cell r="I47" t="str">
            <v>785C-APX4306.00.CC.0 STEERING PUMP</v>
          </cell>
          <cell r="J47" t="str">
            <v>YES</v>
          </cell>
        </row>
        <row r="48">
          <cell r="B48" t="str">
            <v>4307.00.CC.0 STEERING VALVE</v>
          </cell>
          <cell r="D48" t="str">
            <v>DT150-104307.00.CC.0 STEERING VALVE</v>
          </cell>
          <cell r="E48" t="str">
            <v>YES</v>
          </cell>
          <cell r="F48" t="str">
            <v>785C-APX</v>
          </cell>
          <cell r="I48" t="str">
            <v>785C-APX4307.00.CC.0 STEERING VALVE</v>
          </cell>
          <cell r="J48" t="str">
            <v>YES</v>
          </cell>
        </row>
        <row r="49">
          <cell r="B49" t="str">
            <v>5102.RI.CC.0 HOIST CYLINDER</v>
          </cell>
          <cell r="D49" t="str">
            <v>DT150-105102.RI.CC.0 HOIST CYLINDER</v>
          </cell>
          <cell r="E49" t="str">
            <v>YES</v>
          </cell>
          <cell r="F49" t="str">
            <v>785C-APX</v>
          </cell>
          <cell r="I49" t="str">
            <v>785C-APX5102.RI.CC.0 HOIST CYLINDER</v>
          </cell>
          <cell r="J49" t="str">
            <v>YES</v>
          </cell>
        </row>
        <row r="50">
          <cell r="B50" t="str">
            <v>7320.00.CO.0 AIR CONDITIONER</v>
          </cell>
          <cell r="D50" t="str">
            <v>DT150-107320.00.CO.0 AIR CONDITIONER</v>
          </cell>
          <cell r="E50" t="str">
            <v>YES</v>
          </cell>
          <cell r="F50" t="str">
            <v>785C-APX</v>
          </cell>
          <cell r="I50" t="str">
            <v>785C-APX7320.00.CO.0 AIR CONDITIONER</v>
          </cell>
          <cell r="J50" t="str">
            <v>YES</v>
          </cell>
        </row>
        <row r="51">
          <cell r="B51" t="str">
            <v>9402.00.CC.0 FRONT WHEEL OIL</v>
          </cell>
          <cell r="D51" t="str">
            <v>DT150-109402.00.CC.0 FRONT WHEEL OIL</v>
          </cell>
          <cell r="E51" t="str">
            <v>YES</v>
          </cell>
          <cell r="F51" t="str">
            <v>785C-APX</v>
          </cell>
          <cell r="I51" t="str">
            <v>785C-APX9402.00.CC.0 FRONT WHEEL OIL</v>
          </cell>
          <cell r="J51" t="str">
            <v>YES</v>
          </cell>
        </row>
        <row r="52">
          <cell r="B52" t="str">
            <v>9414.00.CC.0 ENGINE OIL</v>
          </cell>
          <cell r="D52" t="str">
            <v>DT150-109414.00.CC.0 ENGINE OIL</v>
          </cell>
          <cell r="E52" t="str">
            <v>YES</v>
          </cell>
          <cell r="F52" t="str">
            <v>785C-APX</v>
          </cell>
          <cell r="I52" t="str">
            <v>785C-APX9414.00.CC.0 ENGINE OIL</v>
          </cell>
          <cell r="J52" t="str">
            <v>YES</v>
          </cell>
        </row>
        <row r="53">
          <cell r="B53" t="str">
            <v>9415.00.CC.0 TRANS OIL</v>
          </cell>
          <cell r="D53" t="str">
            <v>DT150-109415.00.CC.0 TRANS OIL</v>
          </cell>
          <cell r="E53" t="str">
            <v>YES</v>
          </cell>
          <cell r="F53" t="str">
            <v>785C-APX</v>
          </cell>
          <cell r="I53" t="str">
            <v>785C-APX9415.00.CC.0 TRANS OIL</v>
          </cell>
          <cell r="J53" t="str">
            <v>YES</v>
          </cell>
        </row>
        <row r="54">
          <cell r="B54" t="str">
            <v>7524.00.RM.0 250 SVC HOUR MAINTENANCE</v>
          </cell>
          <cell r="D54" t="str">
            <v>DT180-077524.00.RM.0 250 SVC HOUR MAINTENANCE</v>
          </cell>
          <cell r="E54" t="str">
            <v>YES</v>
          </cell>
          <cell r="F54" t="str">
            <v>789C-2BW</v>
          </cell>
          <cell r="I54" t="str">
            <v>789C-2BW7524.00.RM.0 250 SVC HOUR MAINTENANCE</v>
          </cell>
          <cell r="J54" t="str">
            <v>YES</v>
          </cell>
        </row>
        <row r="55">
          <cell r="B55" t="str">
            <v>4008.RR.CC.2RB FINAL DRIVE, BRAKE AND WHEEL</v>
          </cell>
          <cell r="D55" t="str">
            <v>DT180-074008.RR.CC.2RB FINAL DRIVE, BRAKE AND WHEEL</v>
          </cell>
          <cell r="E55" t="str">
            <v>YES</v>
          </cell>
          <cell r="F55" t="str">
            <v>789C-2BW</v>
          </cell>
          <cell r="I55" t="str">
            <v>789C-2BW4008.RR.CC.2RB FINAL DRIVE, BRAKE AND WHEEL</v>
          </cell>
          <cell r="J55" t="str">
            <v>YES</v>
          </cell>
        </row>
        <row r="56">
          <cell r="B56" t="str">
            <v>7201.FR.RM.0 SUSPENSION</v>
          </cell>
          <cell r="D56" t="str">
            <v>DT180-077201.FR.RM.0 SUSPENSION</v>
          </cell>
          <cell r="E56" t="str">
            <v>YES</v>
          </cell>
          <cell r="F56" t="str">
            <v>789C-2BW</v>
          </cell>
          <cell r="I56" t="str">
            <v>789C-2BW7201.FR.RM.0 SUSPENSION</v>
          </cell>
          <cell r="J56" t="str">
            <v>YES</v>
          </cell>
        </row>
        <row r="57">
          <cell r="B57" t="str">
            <v>7213.RR.CC.0 SUSPENSION</v>
          </cell>
          <cell r="D57" t="str">
            <v>DT180-077213.RR.CC.0 SUSPENSION</v>
          </cell>
          <cell r="E57" t="str">
            <v>YES</v>
          </cell>
          <cell r="F57" t="str">
            <v>789C-2BW</v>
          </cell>
          <cell r="I57" t="str">
            <v>789C-2BW7213.RR.CC.0 SUSPENSION</v>
          </cell>
          <cell r="J57" t="str">
            <v>YES</v>
          </cell>
        </row>
        <row r="58">
          <cell r="B58" t="str">
            <v>7524.00.RM.0 250 SVC HOUR MAINTENANCE</v>
          </cell>
          <cell r="D58" t="str">
            <v>DT180-047524.00.RM.0 250 SVC HOUR MAINTENANCE</v>
          </cell>
          <cell r="E58" t="str">
            <v>YES</v>
          </cell>
          <cell r="F58" t="str">
            <v>789C-2BW</v>
          </cell>
          <cell r="I58" t="str">
            <v>789C-2BW7524.00.RM.0 250 SVC HOUR MAINTENANCE</v>
          </cell>
          <cell r="J58" t="str">
            <v>YES</v>
          </cell>
        </row>
        <row r="59">
          <cell r="D59" t="str">
            <v/>
          </cell>
          <cell r="E59" t="str">
            <v/>
          </cell>
          <cell r="F59" t="str">
            <v/>
          </cell>
          <cell r="I59"/>
          <cell r="J59"/>
        </row>
        <row r="60">
          <cell r="D60" t="str">
            <v/>
          </cell>
          <cell r="E60" t="str">
            <v/>
          </cell>
          <cell r="F60" t="str">
            <v/>
          </cell>
          <cell r="I60"/>
          <cell r="J60"/>
        </row>
        <row r="61">
          <cell r="D61" t="str">
            <v/>
          </cell>
          <cell r="E61" t="str">
            <v/>
          </cell>
          <cell r="F61" t="str">
            <v/>
          </cell>
          <cell r="I61"/>
          <cell r="J61"/>
        </row>
        <row r="62">
          <cell r="D62" t="str">
            <v/>
          </cell>
          <cell r="E62" t="str">
            <v/>
          </cell>
          <cell r="F62" t="str">
            <v/>
          </cell>
          <cell r="I62"/>
          <cell r="J62"/>
        </row>
        <row r="63">
          <cell r="D63" t="str">
            <v/>
          </cell>
          <cell r="E63" t="str">
            <v/>
          </cell>
          <cell r="F63" t="str">
            <v/>
          </cell>
          <cell r="I63"/>
          <cell r="J63"/>
        </row>
        <row r="64">
          <cell r="D64" t="str">
            <v/>
          </cell>
          <cell r="E64" t="str">
            <v/>
          </cell>
          <cell r="F64" t="str">
            <v/>
          </cell>
          <cell r="I64"/>
          <cell r="J64"/>
        </row>
        <row r="65">
          <cell r="D65" t="str">
            <v/>
          </cell>
          <cell r="E65" t="str">
            <v/>
          </cell>
          <cell r="F65" t="str">
            <v/>
          </cell>
          <cell r="I65"/>
          <cell r="J65"/>
        </row>
        <row r="66">
          <cell r="D66" t="str">
            <v/>
          </cell>
          <cell r="E66" t="str">
            <v/>
          </cell>
          <cell r="F66" t="str">
            <v/>
          </cell>
          <cell r="I66"/>
          <cell r="J66"/>
        </row>
        <row r="67">
          <cell r="D67" t="str">
            <v/>
          </cell>
          <cell r="E67" t="str">
            <v/>
          </cell>
          <cell r="F67" t="str">
            <v/>
          </cell>
          <cell r="I67"/>
          <cell r="J67"/>
        </row>
        <row r="68">
          <cell r="D68" t="str">
            <v/>
          </cell>
          <cell r="E68" t="str">
            <v/>
          </cell>
          <cell r="F68" t="str">
            <v/>
          </cell>
          <cell r="I68"/>
          <cell r="J68"/>
        </row>
        <row r="69">
          <cell r="D69" t="str">
            <v/>
          </cell>
          <cell r="E69" t="str">
            <v/>
          </cell>
          <cell r="F69" t="str">
            <v/>
          </cell>
          <cell r="I69"/>
          <cell r="J69"/>
        </row>
        <row r="70">
          <cell r="D70" t="str">
            <v/>
          </cell>
          <cell r="E70" t="str">
            <v/>
          </cell>
          <cell r="F70" t="str">
            <v/>
          </cell>
          <cell r="I70"/>
          <cell r="J70"/>
        </row>
        <row r="71">
          <cell r="D71" t="str">
            <v/>
          </cell>
          <cell r="E71" t="str">
            <v/>
          </cell>
          <cell r="F71" t="str">
            <v/>
          </cell>
          <cell r="I71"/>
          <cell r="J71"/>
        </row>
        <row r="72">
          <cell r="D72" t="str">
            <v/>
          </cell>
          <cell r="E72" t="str">
            <v/>
          </cell>
          <cell r="F72" t="str">
            <v/>
          </cell>
          <cell r="I72"/>
          <cell r="J72"/>
        </row>
        <row r="73">
          <cell r="D73" t="str">
            <v/>
          </cell>
          <cell r="E73" t="str">
            <v/>
          </cell>
          <cell r="F73" t="str">
            <v/>
          </cell>
          <cell r="I73"/>
          <cell r="J73"/>
        </row>
        <row r="74">
          <cell r="D74" t="str">
            <v/>
          </cell>
          <cell r="E74" t="str">
            <v/>
          </cell>
          <cell r="F74" t="str">
            <v/>
          </cell>
          <cell r="I74"/>
          <cell r="J74"/>
        </row>
        <row r="75">
          <cell r="D75" t="str">
            <v/>
          </cell>
          <cell r="E75" t="str">
            <v/>
          </cell>
          <cell r="F75" t="str">
            <v/>
          </cell>
          <cell r="I75"/>
          <cell r="J75"/>
        </row>
        <row r="76">
          <cell r="D76" t="str">
            <v/>
          </cell>
          <cell r="E76" t="str">
            <v/>
          </cell>
          <cell r="F76" t="str">
            <v/>
          </cell>
          <cell r="I76"/>
          <cell r="J76"/>
        </row>
        <row r="77">
          <cell r="D77" t="str">
            <v/>
          </cell>
          <cell r="E77" t="str">
            <v/>
          </cell>
          <cell r="F77" t="str">
            <v/>
          </cell>
          <cell r="I77"/>
          <cell r="J77"/>
        </row>
        <row r="78">
          <cell r="D78" t="str">
            <v/>
          </cell>
          <cell r="E78" t="str">
            <v/>
          </cell>
          <cell r="F78" t="str">
            <v/>
          </cell>
          <cell r="I78"/>
          <cell r="J78"/>
        </row>
        <row r="79">
          <cell r="D79" t="str">
            <v/>
          </cell>
          <cell r="E79" t="str">
            <v/>
          </cell>
          <cell r="F79" t="str">
            <v/>
          </cell>
          <cell r="I79"/>
          <cell r="J79"/>
        </row>
        <row r="80">
          <cell r="D80" t="str">
            <v/>
          </cell>
          <cell r="E80" t="str">
            <v/>
          </cell>
          <cell r="F80" t="str">
            <v/>
          </cell>
          <cell r="I80"/>
          <cell r="J80"/>
        </row>
        <row r="81">
          <cell r="D81" t="str">
            <v/>
          </cell>
          <cell r="E81" t="str">
            <v/>
          </cell>
          <cell r="F81" t="str">
            <v/>
          </cell>
          <cell r="I81"/>
          <cell r="J81"/>
        </row>
        <row r="82">
          <cell r="D82" t="str">
            <v/>
          </cell>
          <cell r="E82" t="str">
            <v/>
          </cell>
          <cell r="F82" t="str">
            <v/>
          </cell>
          <cell r="I82"/>
          <cell r="J82"/>
        </row>
        <row r="83">
          <cell r="D83" t="str">
            <v/>
          </cell>
          <cell r="E83" t="str">
            <v/>
          </cell>
          <cell r="F83" t="str">
            <v/>
          </cell>
          <cell r="I83"/>
          <cell r="J83"/>
        </row>
        <row r="84">
          <cell r="D84" t="str">
            <v/>
          </cell>
          <cell r="E84" t="str">
            <v/>
          </cell>
          <cell r="F84" t="str">
            <v/>
          </cell>
          <cell r="I84"/>
          <cell r="J84"/>
        </row>
        <row r="85">
          <cell r="D85" t="str">
            <v/>
          </cell>
          <cell r="E85" t="str">
            <v/>
          </cell>
          <cell r="F85" t="str">
            <v/>
          </cell>
          <cell r="I85"/>
          <cell r="J85"/>
        </row>
        <row r="86">
          <cell r="D86" t="str">
            <v/>
          </cell>
          <cell r="E86" t="str">
            <v/>
          </cell>
          <cell r="F86" t="str">
            <v/>
          </cell>
          <cell r="I86"/>
          <cell r="J86"/>
        </row>
        <row r="87">
          <cell r="D87" t="str">
            <v/>
          </cell>
          <cell r="E87" t="str">
            <v/>
          </cell>
          <cell r="F87" t="str">
            <v/>
          </cell>
          <cell r="I87"/>
          <cell r="J87"/>
        </row>
        <row r="88">
          <cell r="D88" t="str">
            <v/>
          </cell>
          <cell r="E88" t="str">
            <v/>
          </cell>
          <cell r="F88" t="str">
            <v/>
          </cell>
          <cell r="I88"/>
          <cell r="J88"/>
        </row>
        <row r="89">
          <cell r="D89" t="str">
            <v/>
          </cell>
          <cell r="E89" t="str">
            <v/>
          </cell>
          <cell r="F89" t="str">
            <v/>
          </cell>
          <cell r="I89"/>
          <cell r="J89"/>
        </row>
        <row r="90">
          <cell r="D90" t="str">
            <v/>
          </cell>
          <cell r="E90" t="str">
            <v/>
          </cell>
          <cell r="F90" t="str">
            <v/>
          </cell>
          <cell r="I90"/>
          <cell r="J90"/>
        </row>
        <row r="91">
          <cell r="D91" t="str">
            <v/>
          </cell>
          <cell r="E91" t="str">
            <v/>
          </cell>
          <cell r="F91" t="str">
            <v/>
          </cell>
          <cell r="I91"/>
          <cell r="J91"/>
        </row>
        <row r="92">
          <cell r="D92" t="str">
            <v/>
          </cell>
          <cell r="E92" t="str">
            <v/>
          </cell>
          <cell r="F92" t="str">
            <v/>
          </cell>
          <cell r="I92"/>
          <cell r="J92"/>
        </row>
        <row r="93">
          <cell r="D93" t="str">
            <v/>
          </cell>
          <cell r="E93" t="str">
            <v/>
          </cell>
          <cell r="F93" t="str">
            <v/>
          </cell>
          <cell r="I93"/>
          <cell r="J93"/>
        </row>
        <row r="94">
          <cell r="D94" t="str">
            <v/>
          </cell>
          <cell r="E94" t="str">
            <v/>
          </cell>
          <cell r="F94" t="str">
            <v/>
          </cell>
          <cell r="I94"/>
          <cell r="J94"/>
        </row>
        <row r="95">
          <cell r="D95" t="str">
            <v/>
          </cell>
          <cell r="E95" t="str">
            <v/>
          </cell>
          <cell r="F95" t="str">
            <v/>
          </cell>
          <cell r="I95"/>
          <cell r="J95"/>
        </row>
        <row r="96">
          <cell r="D96" t="str">
            <v/>
          </cell>
          <cell r="E96" t="str">
            <v/>
          </cell>
          <cell r="F96" t="str">
            <v/>
          </cell>
          <cell r="I96"/>
          <cell r="J96"/>
        </row>
        <row r="97">
          <cell r="D97" t="str">
            <v/>
          </cell>
          <cell r="E97" t="str">
            <v/>
          </cell>
          <cell r="F97" t="str">
            <v/>
          </cell>
          <cell r="I97"/>
          <cell r="J97"/>
        </row>
        <row r="98">
          <cell r="D98" t="str">
            <v/>
          </cell>
          <cell r="E98" t="str">
            <v/>
          </cell>
          <cell r="F98" t="str">
            <v/>
          </cell>
          <cell r="I98"/>
          <cell r="J98"/>
        </row>
        <row r="99">
          <cell r="D99" t="str">
            <v/>
          </cell>
          <cell r="E99" t="str">
            <v/>
          </cell>
          <cell r="F99" t="str">
            <v/>
          </cell>
          <cell r="I99"/>
          <cell r="J99"/>
        </row>
        <row r="100">
          <cell r="D100" t="str">
            <v/>
          </cell>
          <cell r="E100" t="str">
            <v/>
          </cell>
          <cell r="F100" t="str">
            <v/>
          </cell>
          <cell r="I100"/>
          <cell r="J100"/>
        </row>
        <row r="101">
          <cell r="D101" t="str">
            <v/>
          </cell>
          <cell r="E101" t="str">
            <v/>
          </cell>
          <cell r="F101" t="str">
            <v/>
          </cell>
          <cell r="I101"/>
          <cell r="J101"/>
        </row>
        <row r="102">
          <cell r="D102" t="str">
            <v/>
          </cell>
          <cell r="E102" t="str">
            <v/>
          </cell>
          <cell r="F102" t="str">
            <v/>
          </cell>
          <cell r="I102"/>
          <cell r="J102"/>
        </row>
        <row r="103">
          <cell r="D103" t="str">
            <v/>
          </cell>
          <cell r="E103" t="str">
            <v/>
          </cell>
          <cell r="F103" t="str">
            <v/>
          </cell>
          <cell r="I103"/>
          <cell r="J103"/>
        </row>
        <row r="104">
          <cell r="D104" t="str">
            <v/>
          </cell>
          <cell r="E104" t="str">
            <v/>
          </cell>
          <cell r="F104" t="str">
            <v/>
          </cell>
          <cell r="I104"/>
          <cell r="J104"/>
        </row>
        <row r="105">
          <cell r="D105" t="str">
            <v/>
          </cell>
          <cell r="E105" t="str">
            <v/>
          </cell>
          <cell r="F105" t="str">
            <v/>
          </cell>
          <cell r="I105"/>
          <cell r="J105"/>
        </row>
        <row r="106">
          <cell r="D106" t="str">
            <v/>
          </cell>
          <cell r="E106" t="str">
            <v/>
          </cell>
          <cell r="F106" t="str">
            <v/>
          </cell>
          <cell r="I106"/>
          <cell r="J106"/>
        </row>
        <row r="107">
          <cell r="D107" t="str">
            <v/>
          </cell>
          <cell r="E107" t="str">
            <v/>
          </cell>
          <cell r="F107" t="str">
            <v/>
          </cell>
          <cell r="I107"/>
          <cell r="J107"/>
        </row>
        <row r="108">
          <cell r="D108" t="str">
            <v/>
          </cell>
          <cell r="E108" t="str">
            <v/>
          </cell>
          <cell r="F108" t="str">
            <v/>
          </cell>
          <cell r="I108"/>
          <cell r="J108"/>
        </row>
        <row r="109">
          <cell r="D109" t="str">
            <v/>
          </cell>
          <cell r="E109" t="str">
            <v/>
          </cell>
          <cell r="F109" t="str">
            <v/>
          </cell>
          <cell r="I109"/>
          <cell r="J109"/>
        </row>
        <row r="110">
          <cell r="D110" t="str">
            <v/>
          </cell>
          <cell r="E110" t="str">
            <v/>
          </cell>
          <cell r="F110" t="str">
            <v/>
          </cell>
          <cell r="I110"/>
          <cell r="J110"/>
        </row>
        <row r="111">
          <cell r="D111" t="str">
            <v/>
          </cell>
          <cell r="E111" t="str">
            <v/>
          </cell>
          <cell r="F111" t="str">
            <v/>
          </cell>
          <cell r="I111"/>
          <cell r="J111"/>
        </row>
        <row r="112">
          <cell r="D112" t="str">
            <v/>
          </cell>
          <cell r="E112" t="str">
            <v/>
          </cell>
          <cell r="F112" t="str">
            <v/>
          </cell>
          <cell r="I112"/>
          <cell r="J112"/>
        </row>
        <row r="113">
          <cell r="D113" t="str">
            <v/>
          </cell>
          <cell r="E113" t="str">
            <v/>
          </cell>
          <cell r="F113" t="str">
            <v/>
          </cell>
          <cell r="I113"/>
          <cell r="J113"/>
        </row>
        <row r="114">
          <cell r="D114" t="str">
            <v/>
          </cell>
          <cell r="E114" t="str">
            <v/>
          </cell>
          <cell r="F114" t="str">
            <v/>
          </cell>
          <cell r="I114"/>
          <cell r="J114"/>
        </row>
        <row r="115">
          <cell r="D115" t="str">
            <v/>
          </cell>
          <cell r="E115" t="str">
            <v/>
          </cell>
          <cell r="F115" t="str">
            <v/>
          </cell>
          <cell r="I115"/>
          <cell r="J115"/>
        </row>
        <row r="116">
          <cell r="D116" t="str">
            <v/>
          </cell>
          <cell r="E116" t="str">
            <v/>
          </cell>
          <cell r="F116" t="str">
            <v/>
          </cell>
          <cell r="I116"/>
          <cell r="J116"/>
        </row>
        <row r="117">
          <cell r="D117" t="str">
            <v/>
          </cell>
          <cell r="E117" t="str">
            <v/>
          </cell>
          <cell r="F117" t="str">
            <v/>
          </cell>
          <cell r="I117"/>
          <cell r="J117"/>
        </row>
        <row r="118">
          <cell r="D118" t="str">
            <v/>
          </cell>
          <cell r="E118" t="str">
            <v/>
          </cell>
          <cell r="F118" t="str">
            <v/>
          </cell>
          <cell r="I118"/>
          <cell r="J118"/>
        </row>
        <row r="119">
          <cell r="D119" t="str">
            <v/>
          </cell>
          <cell r="E119" t="str">
            <v/>
          </cell>
          <cell r="F119" t="str">
            <v/>
          </cell>
          <cell r="I119"/>
          <cell r="J119"/>
        </row>
        <row r="120">
          <cell r="D120" t="str">
            <v/>
          </cell>
          <cell r="E120" t="str">
            <v/>
          </cell>
          <cell r="F120" t="str">
            <v/>
          </cell>
          <cell r="I120"/>
          <cell r="J120"/>
        </row>
        <row r="121">
          <cell r="D121" t="str">
            <v/>
          </cell>
          <cell r="E121" t="str">
            <v/>
          </cell>
          <cell r="F121" t="str">
            <v/>
          </cell>
          <cell r="I121"/>
          <cell r="J121"/>
        </row>
        <row r="122">
          <cell r="D122" t="str">
            <v/>
          </cell>
          <cell r="E122" t="str">
            <v/>
          </cell>
          <cell r="F122" t="str">
            <v/>
          </cell>
          <cell r="I122"/>
          <cell r="J122"/>
        </row>
        <row r="123">
          <cell r="D123" t="str">
            <v/>
          </cell>
          <cell r="E123" t="str">
            <v/>
          </cell>
          <cell r="F123" t="str">
            <v/>
          </cell>
          <cell r="I123"/>
          <cell r="J123"/>
        </row>
        <row r="124">
          <cell r="D124" t="str">
            <v/>
          </cell>
          <cell r="E124" t="str">
            <v/>
          </cell>
          <cell r="F124" t="str">
            <v/>
          </cell>
          <cell r="I124"/>
          <cell r="J124"/>
        </row>
        <row r="125">
          <cell r="D125" t="str">
            <v/>
          </cell>
          <cell r="E125" t="str">
            <v/>
          </cell>
          <cell r="F125" t="str">
            <v/>
          </cell>
          <cell r="I125"/>
          <cell r="J125"/>
        </row>
        <row r="126">
          <cell r="D126" t="str">
            <v/>
          </cell>
          <cell r="E126" t="str">
            <v/>
          </cell>
          <cell r="F126" t="str">
            <v/>
          </cell>
          <cell r="I126"/>
          <cell r="J126"/>
        </row>
        <row r="127">
          <cell r="D127" t="str">
            <v/>
          </cell>
          <cell r="E127" t="str">
            <v/>
          </cell>
          <cell r="F127" t="str">
            <v/>
          </cell>
          <cell r="I127"/>
          <cell r="J127"/>
        </row>
        <row r="128">
          <cell r="D128" t="str">
            <v/>
          </cell>
          <cell r="E128" t="str">
            <v/>
          </cell>
          <cell r="F128" t="str">
            <v/>
          </cell>
          <cell r="I128"/>
          <cell r="J128"/>
        </row>
        <row r="129">
          <cell r="D129" t="str">
            <v/>
          </cell>
          <cell r="E129" t="str">
            <v/>
          </cell>
          <cell r="F129" t="str">
            <v/>
          </cell>
          <cell r="I129"/>
          <cell r="J129"/>
        </row>
        <row r="130">
          <cell r="D130" t="str">
            <v/>
          </cell>
          <cell r="E130" t="str">
            <v/>
          </cell>
          <cell r="F130" t="str">
            <v/>
          </cell>
          <cell r="I130"/>
          <cell r="J130"/>
        </row>
        <row r="131">
          <cell r="D131" t="str">
            <v/>
          </cell>
          <cell r="E131" t="str">
            <v/>
          </cell>
          <cell r="F131" t="str">
            <v/>
          </cell>
          <cell r="I131"/>
          <cell r="J131"/>
        </row>
        <row r="132">
          <cell r="D132" t="str">
            <v/>
          </cell>
          <cell r="E132" t="str">
            <v/>
          </cell>
          <cell r="F132" t="str">
            <v/>
          </cell>
          <cell r="I132"/>
          <cell r="J132"/>
        </row>
        <row r="133">
          <cell r="D133" t="str">
            <v/>
          </cell>
          <cell r="E133" t="str">
            <v/>
          </cell>
          <cell r="F133" t="str">
            <v/>
          </cell>
          <cell r="I133"/>
          <cell r="J133"/>
        </row>
        <row r="134">
          <cell r="D134" t="str">
            <v/>
          </cell>
          <cell r="E134" t="str">
            <v/>
          </cell>
          <cell r="F134" t="str">
            <v/>
          </cell>
          <cell r="I134"/>
          <cell r="J134"/>
        </row>
        <row r="135">
          <cell r="D135" t="str">
            <v/>
          </cell>
          <cell r="E135" t="str">
            <v/>
          </cell>
          <cell r="F135" t="str">
            <v/>
          </cell>
          <cell r="I135"/>
          <cell r="J135"/>
        </row>
        <row r="136">
          <cell r="D136" t="str">
            <v/>
          </cell>
          <cell r="E136" t="str">
            <v/>
          </cell>
          <cell r="F136" t="str">
            <v/>
          </cell>
          <cell r="I136"/>
          <cell r="J136"/>
        </row>
        <row r="137">
          <cell r="D137" t="str">
            <v/>
          </cell>
          <cell r="E137" t="str">
            <v/>
          </cell>
          <cell r="F137" t="str">
            <v/>
          </cell>
          <cell r="I137"/>
          <cell r="J137"/>
        </row>
        <row r="138">
          <cell r="D138" t="str">
            <v/>
          </cell>
          <cell r="E138" t="str">
            <v/>
          </cell>
          <cell r="F138" t="str">
            <v/>
          </cell>
          <cell r="I138"/>
          <cell r="J138"/>
        </row>
        <row r="139">
          <cell r="D139" t="str">
            <v/>
          </cell>
          <cell r="E139" t="str">
            <v/>
          </cell>
          <cell r="F139" t="str">
            <v/>
          </cell>
          <cell r="I139"/>
          <cell r="J139"/>
        </row>
        <row r="140">
          <cell r="D140" t="str">
            <v/>
          </cell>
          <cell r="E140" t="str">
            <v/>
          </cell>
          <cell r="F140" t="str">
            <v/>
          </cell>
          <cell r="I140"/>
          <cell r="J140"/>
        </row>
        <row r="141">
          <cell r="D141" t="str">
            <v/>
          </cell>
          <cell r="E141" t="str">
            <v/>
          </cell>
          <cell r="F141" t="str">
            <v/>
          </cell>
          <cell r="I141"/>
          <cell r="J141"/>
        </row>
        <row r="142">
          <cell r="D142" t="str">
            <v/>
          </cell>
          <cell r="E142" t="str">
            <v/>
          </cell>
          <cell r="F142" t="str">
            <v/>
          </cell>
          <cell r="I142"/>
          <cell r="J142"/>
        </row>
        <row r="143">
          <cell r="D143" t="str">
            <v/>
          </cell>
          <cell r="E143" t="str">
            <v/>
          </cell>
          <cell r="F143" t="str">
            <v/>
          </cell>
          <cell r="I143"/>
          <cell r="J143"/>
        </row>
        <row r="144">
          <cell r="D144" t="str">
            <v/>
          </cell>
          <cell r="E144" t="str">
            <v/>
          </cell>
          <cell r="F144" t="str">
            <v/>
          </cell>
          <cell r="I144"/>
          <cell r="J144"/>
        </row>
        <row r="145">
          <cell r="D145" t="str">
            <v/>
          </cell>
          <cell r="E145" t="str">
            <v/>
          </cell>
          <cell r="F145" t="str">
            <v/>
          </cell>
          <cell r="I145"/>
          <cell r="J145"/>
        </row>
        <row r="146">
          <cell r="D146" t="str">
            <v/>
          </cell>
          <cell r="E146" t="str">
            <v/>
          </cell>
          <cell r="F146" t="str">
            <v/>
          </cell>
          <cell r="I146"/>
          <cell r="J146"/>
        </row>
        <row r="147">
          <cell r="D147" t="str">
            <v/>
          </cell>
          <cell r="E147" t="str">
            <v/>
          </cell>
          <cell r="F147" t="str">
            <v/>
          </cell>
          <cell r="I147"/>
          <cell r="J147"/>
        </row>
        <row r="148">
          <cell r="D148" t="str">
            <v/>
          </cell>
          <cell r="E148" t="str">
            <v/>
          </cell>
          <cell r="F148" t="str">
            <v/>
          </cell>
          <cell r="I148"/>
          <cell r="J148"/>
        </row>
        <row r="149">
          <cell r="D149" t="str">
            <v/>
          </cell>
          <cell r="E149" t="str">
            <v/>
          </cell>
          <cell r="F149" t="str">
            <v/>
          </cell>
          <cell r="I149"/>
          <cell r="J149"/>
        </row>
        <row r="150">
          <cell r="D150" t="str">
            <v/>
          </cell>
          <cell r="E150" t="str">
            <v/>
          </cell>
          <cell r="F150" t="str">
            <v/>
          </cell>
          <cell r="I150"/>
          <cell r="J150"/>
        </row>
        <row r="151">
          <cell r="D151" t="str">
            <v/>
          </cell>
          <cell r="E151" t="str">
            <v/>
          </cell>
          <cell r="F151" t="str">
            <v/>
          </cell>
          <cell r="I151"/>
          <cell r="J151"/>
        </row>
        <row r="152">
          <cell r="D152" t="str">
            <v/>
          </cell>
          <cell r="E152" t="str">
            <v/>
          </cell>
          <cell r="F152" t="str">
            <v/>
          </cell>
          <cell r="I152"/>
          <cell r="J152"/>
        </row>
        <row r="153">
          <cell r="D153" t="str">
            <v/>
          </cell>
          <cell r="E153" t="str">
            <v/>
          </cell>
          <cell r="F153" t="str">
            <v/>
          </cell>
          <cell r="I153"/>
          <cell r="J153"/>
        </row>
        <row r="154">
          <cell r="D154" t="str">
            <v/>
          </cell>
          <cell r="E154" t="str">
            <v/>
          </cell>
          <cell r="F154" t="str">
            <v/>
          </cell>
          <cell r="I154"/>
          <cell r="J154"/>
        </row>
        <row r="155">
          <cell r="D155" t="str">
            <v/>
          </cell>
          <cell r="E155" t="str">
            <v/>
          </cell>
          <cell r="F155" t="str">
            <v/>
          </cell>
          <cell r="I155"/>
          <cell r="J155"/>
        </row>
        <row r="156">
          <cell r="D156" t="str">
            <v/>
          </cell>
          <cell r="E156" t="str">
            <v/>
          </cell>
          <cell r="F156" t="str">
            <v/>
          </cell>
          <cell r="I156"/>
          <cell r="J156"/>
        </row>
        <row r="157">
          <cell r="D157" t="str">
            <v/>
          </cell>
          <cell r="E157" t="str">
            <v/>
          </cell>
          <cell r="F157" t="str">
            <v/>
          </cell>
          <cell r="I157"/>
          <cell r="J157"/>
        </row>
        <row r="158">
          <cell r="D158" t="str">
            <v/>
          </cell>
          <cell r="E158" t="str">
            <v/>
          </cell>
          <cell r="F158" t="str">
            <v/>
          </cell>
          <cell r="I158"/>
          <cell r="J158"/>
        </row>
        <row r="159">
          <cell r="D159" t="str">
            <v/>
          </cell>
          <cell r="E159" t="str">
            <v/>
          </cell>
          <cell r="F159" t="str">
            <v/>
          </cell>
          <cell r="I159"/>
          <cell r="J159"/>
        </row>
        <row r="160">
          <cell r="D160" t="str">
            <v/>
          </cell>
          <cell r="E160" t="str">
            <v/>
          </cell>
          <cell r="F160" t="str">
            <v/>
          </cell>
          <cell r="I160"/>
          <cell r="J160"/>
        </row>
        <row r="161">
          <cell r="D161" t="str">
            <v/>
          </cell>
          <cell r="E161" t="str">
            <v/>
          </cell>
          <cell r="F161" t="str">
            <v/>
          </cell>
          <cell r="I161"/>
          <cell r="J161"/>
        </row>
        <row r="162">
          <cell r="D162" t="str">
            <v/>
          </cell>
          <cell r="E162" t="str">
            <v/>
          </cell>
          <cell r="F162" t="str">
            <v/>
          </cell>
          <cell r="I162"/>
          <cell r="J162"/>
        </row>
        <row r="163">
          <cell r="D163" t="str">
            <v/>
          </cell>
          <cell r="E163" t="str">
            <v/>
          </cell>
          <cell r="F163" t="str">
            <v/>
          </cell>
          <cell r="I163"/>
          <cell r="J163"/>
        </row>
        <row r="164">
          <cell r="D164" t="str">
            <v/>
          </cell>
          <cell r="E164" t="str">
            <v/>
          </cell>
          <cell r="F164" t="str">
            <v/>
          </cell>
          <cell r="I164"/>
          <cell r="J164"/>
        </row>
        <row r="165">
          <cell r="D165" t="str">
            <v/>
          </cell>
          <cell r="E165" t="str">
            <v/>
          </cell>
          <cell r="F165" t="str">
            <v/>
          </cell>
          <cell r="I165"/>
          <cell r="J165"/>
        </row>
        <row r="166">
          <cell r="D166" t="str">
            <v/>
          </cell>
          <cell r="E166" t="str">
            <v/>
          </cell>
          <cell r="F166" t="str">
            <v/>
          </cell>
          <cell r="I166"/>
          <cell r="J166"/>
        </row>
        <row r="167">
          <cell r="D167" t="str">
            <v/>
          </cell>
          <cell r="E167" t="str">
            <v/>
          </cell>
          <cell r="F167" t="str">
            <v/>
          </cell>
          <cell r="I167"/>
          <cell r="J167"/>
        </row>
        <row r="168">
          <cell r="D168" t="str">
            <v/>
          </cell>
          <cell r="E168" t="str">
            <v/>
          </cell>
          <cell r="F168" t="str">
            <v/>
          </cell>
          <cell r="I168"/>
          <cell r="J168"/>
        </row>
        <row r="169">
          <cell r="D169" t="str">
            <v/>
          </cell>
          <cell r="E169" t="str">
            <v/>
          </cell>
          <cell r="F169" t="str">
            <v/>
          </cell>
          <cell r="I169"/>
          <cell r="J169"/>
        </row>
        <row r="170">
          <cell r="D170" t="str">
            <v/>
          </cell>
          <cell r="E170" t="str">
            <v/>
          </cell>
          <cell r="F170" t="str">
            <v/>
          </cell>
          <cell r="I170"/>
          <cell r="J170"/>
        </row>
        <row r="171">
          <cell r="D171" t="str">
            <v/>
          </cell>
          <cell r="E171" t="str">
            <v/>
          </cell>
          <cell r="F171" t="str">
            <v/>
          </cell>
          <cell r="I171"/>
          <cell r="J171"/>
        </row>
        <row r="172">
          <cell r="D172" t="str">
            <v/>
          </cell>
          <cell r="E172" t="str">
            <v/>
          </cell>
          <cell r="F172" t="str">
            <v/>
          </cell>
          <cell r="I172"/>
          <cell r="J172"/>
        </row>
        <row r="173">
          <cell r="D173" t="str">
            <v/>
          </cell>
          <cell r="E173" t="str">
            <v/>
          </cell>
          <cell r="F173" t="str">
            <v/>
          </cell>
          <cell r="I173"/>
          <cell r="J173"/>
        </row>
        <row r="174">
          <cell r="D174" t="str">
            <v/>
          </cell>
          <cell r="E174" t="str">
            <v/>
          </cell>
          <cell r="F174" t="str">
            <v/>
          </cell>
          <cell r="I174"/>
          <cell r="J174"/>
        </row>
        <row r="175">
          <cell r="D175" t="str">
            <v/>
          </cell>
          <cell r="E175" t="str">
            <v/>
          </cell>
          <cell r="F175" t="str">
            <v/>
          </cell>
          <cell r="I175"/>
          <cell r="J175"/>
        </row>
        <row r="176">
          <cell r="D176" t="str">
            <v/>
          </cell>
          <cell r="E176" t="str">
            <v/>
          </cell>
          <cell r="F176" t="str">
            <v/>
          </cell>
          <cell r="I176"/>
          <cell r="J176"/>
        </row>
        <row r="177">
          <cell r="D177" t="str">
            <v/>
          </cell>
          <cell r="E177" t="str">
            <v/>
          </cell>
          <cell r="F177" t="str">
            <v/>
          </cell>
          <cell r="I177"/>
          <cell r="J177"/>
        </row>
        <row r="178">
          <cell r="D178" t="str">
            <v/>
          </cell>
          <cell r="E178" t="str">
            <v/>
          </cell>
          <cell r="F178" t="str">
            <v/>
          </cell>
          <cell r="I178"/>
          <cell r="J178"/>
        </row>
        <row r="179">
          <cell r="D179" t="str">
            <v/>
          </cell>
          <cell r="E179" t="str">
            <v/>
          </cell>
          <cell r="F179" t="str">
            <v/>
          </cell>
          <cell r="I179"/>
          <cell r="J179"/>
        </row>
        <row r="180">
          <cell r="D180" t="str">
            <v/>
          </cell>
          <cell r="E180" t="str">
            <v/>
          </cell>
          <cell r="F180" t="str">
            <v/>
          </cell>
          <cell r="I180"/>
          <cell r="J180"/>
        </row>
        <row r="181">
          <cell r="D181" t="str">
            <v/>
          </cell>
          <cell r="E181" t="str">
            <v/>
          </cell>
          <cell r="F181" t="str">
            <v/>
          </cell>
          <cell r="I181"/>
          <cell r="J181"/>
        </row>
        <row r="182">
          <cell r="D182" t="str">
            <v/>
          </cell>
          <cell r="E182" t="str">
            <v/>
          </cell>
          <cell r="F182" t="str">
            <v/>
          </cell>
          <cell r="I182"/>
          <cell r="J182"/>
        </row>
        <row r="183">
          <cell r="D183" t="str">
            <v/>
          </cell>
          <cell r="E183" t="str">
            <v/>
          </cell>
          <cell r="F183" t="str">
            <v/>
          </cell>
          <cell r="I183"/>
          <cell r="J183"/>
        </row>
        <row r="184">
          <cell r="D184" t="str">
            <v/>
          </cell>
          <cell r="E184" t="str">
            <v/>
          </cell>
          <cell r="F184" t="str">
            <v/>
          </cell>
          <cell r="I184"/>
          <cell r="J184"/>
        </row>
        <row r="185">
          <cell r="D185" t="str">
            <v/>
          </cell>
          <cell r="E185" t="str">
            <v/>
          </cell>
          <cell r="F185" t="str">
            <v/>
          </cell>
          <cell r="I185"/>
          <cell r="J185"/>
        </row>
        <row r="186">
          <cell r="D186" t="str">
            <v/>
          </cell>
          <cell r="E186" t="str">
            <v/>
          </cell>
          <cell r="F186" t="str">
            <v/>
          </cell>
          <cell r="I186"/>
          <cell r="J186"/>
        </row>
        <row r="187">
          <cell r="D187" t="str">
            <v/>
          </cell>
          <cell r="E187" t="str">
            <v/>
          </cell>
          <cell r="F187" t="str">
            <v/>
          </cell>
          <cell r="I187"/>
          <cell r="J187"/>
        </row>
        <row r="188">
          <cell r="D188" t="str">
            <v/>
          </cell>
          <cell r="E188" t="str">
            <v/>
          </cell>
          <cell r="F188" t="str">
            <v/>
          </cell>
          <cell r="I188"/>
          <cell r="J188"/>
        </row>
        <row r="189">
          <cell r="D189" t="str">
            <v/>
          </cell>
          <cell r="E189" t="str">
            <v/>
          </cell>
          <cell r="F189" t="str">
            <v/>
          </cell>
          <cell r="I189"/>
          <cell r="J189"/>
        </row>
        <row r="190">
          <cell r="D190" t="str">
            <v/>
          </cell>
          <cell r="E190" t="str">
            <v/>
          </cell>
          <cell r="F190" t="str">
            <v/>
          </cell>
          <cell r="I190"/>
          <cell r="J190"/>
        </row>
        <row r="191">
          <cell r="D191" t="str">
            <v/>
          </cell>
          <cell r="E191" t="str">
            <v/>
          </cell>
          <cell r="F191" t="str">
            <v/>
          </cell>
          <cell r="I191"/>
          <cell r="J191"/>
        </row>
        <row r="192">
          <cell r="D192" t="str">
            <v/>
          </cell>
          <cell r="E192" t="str">
            <v/>
          </cell>
          <cell r="F192" t="str">
            <v/>
          </cell>
          <cell r="I192"/>
          <cell r="J192"/>
        </row>
        <row r="193">
          <cell r="D193" t="str">
            <v/>
          </cell>
          <cell r="E193" t="str">
            <v/>
          </cell>
          <cell r="F193" t="str">
            <v/>
          </cell>
          <cell r="I193"/>
          <cell r="J193"/>
        </row>
        <row r="194">
          <cell r="D194" t="str">
            <v/>
          </cell>
          <cell r="E194" t="str">
            <v/>
          </cell>
          <cell r="F194" t="str">
            <v/>
          </cell>
          <cell r="I194"/>
          <cell r="J194"/>
        </row>
        <row r="195">
          <cell r="D195" t="str">
            <v/>
          </cell>
          <cell r="E195" t="str">
            <v/>
          </cell>
          <cell r="F195" t="str">
            <v/>
          </cell>
          <cell r="I195"/>
          <cell r="J195"/>
        </row>
        <row r="196">
          <cell r="D196" t="str">
            <v/>
          </cell>
          <cell r="E196" t="str">
            <v/>
          </cell>
          <cell r="F196" t="str">
            <v/>
          </cell>
          <cell r="I196"/>
          <cell r="J196"/>
        </row>
        <row r="197">
          <cell r="D197" t="str">
            <v/>
          </cell>
          <cell r="E197" t="str">
            <v/>
          </cell>
          <cell r="F197" t="str">
            <v/>
          </cell>
          <cell r="I197"/>
          <cell r="J197"/>
        </row>
        <row r="198">
          <cell r="D198" t="str">
            <v/>
          </cell>
          <cell r="E198" t="str">
            <v/>
          </cell>
          <cell r="F198" t="str">
            <v/>
          </cell>
          <cell r="I198"/>
          <cell r="J198"/>
        </row>
        <row r="199">
          <cell r="D199" t="str">
            <v/>
          </cell>
          <cell r="E199" t="str">
            <v/>
          </cell>
          <cell r="F199" t="str">
            <v/>
          </cell>
          <cell r="I199"/>
          <cell r="J199"/>
        </row>
        <row r="200">
          <cell r="D200" t="str">
            <v/>
          </cell>
          <cell r="E200" t="str">
            <v/>
          </cell>
          <cell r="F200" t="str">
            <v/>
          </cell>
          <cell r="I200"/>
          <cell r="J200"/>
        </row>
        <row r="201">
          <cell r="D201" t="str">
            <v/>
          </cell>
          <cell r="E201" t="str">
            <v/>
          </cell>
          <cell r="F201" t="str">
            <v/>
          </cell>
          <cell r="I201"/>
          <cell r="J201"/>
        </row>
        <row r="202">
          <cell r="D202" t="str">
            <v/>
          </cell>
          <cell r="E202" t="str">
            <v/>
          </cell>
          <cell r="F202" t="str">
            <v/>
          </cell>
          <cell r="I202"/>
          <cell r="J202"/>
        </row>
        <row r="203">
          <cell r="D203" t="str">
            <v/>
          </cell>
          <cell r="E203" t="str">
            <v/>
          </cell>
          <cell r="F203" t="str">
            <v/>
          </cell>
          <cell r="I203"/>
          <cell r="J203"/>
        </row>
        <row r="204">
          <cell r="D204" t="str">
            <v/>
          </cell>
          <cell r="E204" t="str">
            <v/>
          </cell>
          <cell r="F204" t="str">
            <v/>
          </cell>
          <cell r="I204"/>
          <cell r="J204"/>
        </row>
        <row r="205">
          <cell r="D205" t="str">
            <v/>
          </cell>
          <cell r="E205" t="str">
            <v/>
          </cell>
          <cell r="F205" t="str">
            <v/>
          </cell>
          <cell r="I205"/>
          <cell r="J205"/>
        </row>
        <row r="206">
          <cell r="D206" t="str">
            <v/>
          </cell>
          <cell r="E206" t="str">
            <v/>
          </cell>
          <cell r="F206" t="str">
            <v/>
          </cell>
          <cell r="I206"/>
          <cell r="J206"/>
        </row>
        <row r="207">
          <cell r="D207" t="str">
            <v/>
          </cell>
          <cell r="E207" t="str">
            <v/>
          </cell>
          <cell r="F207" t="str">
            <v/>
          </cell>
          <cell r="I207"/>
          <cell r="J207"/>
        </row>
        <row r="208">
          <cell r="D208" t="str">
            <v/>
          </cell>
          <cell r="E208" t="str">
            <v/>
          </cell>
          <cell r="F208" t="str">
            <v/>
          </cell>
          <cell r="I208"/>
          <cell r="J208"/>
        </row>
        <row r="209">
          <cell r="D209" t="str">
            <v/>
          </cell>
          <cell r="E209" t="str">
            <v/>
          </cell>
          <cell r="F209" t="str">
            <v/>
          </cell>
          <cell r="I209"/>
          <cell r="J209"/>
        </row>
        <row r="210">
          <cell r="D210" t="str">
            <v/>
          </cell>
          <cell r="E210" t="str">
            <v/>
          </cell>
          <cell r="F210" t="str">
            <v/>
          </cell>
          <cell r="I210"/>
          <cell r="J210"/>
        </row>
        <row r="211">
          <cell r="D211" t="str">
            <v/>
          </cell>
          <cell r="E211" t="str">
            <v/>
          </cell>
          <cell r="F211" t="str">
            <v/>
          </cell>
          <cell r="I211"/>
          <cell r="J211"/>
        </row>
        <row r="212">
          <cell r="D212" t="str">
            <v/>
          </cell>
          <cell r="E212" t="str">
            <v/>
          </cell>
          <cell r="F212" t="str">
            <v/>
          </cell>
          <cell r="I212"/>
          <cell r="J212"/>
        </row>
        <row r="213">
          <cell r="D213" t="str">
            <v/>
          </cell>
          <cell r="E213" t="str">
            <v/>
          </cell>
          <cell r="F213" t="str">
            <v/>
          </cell>
          <cell r="I213"/>
          <cell r="J213"/>
        </row>
        <row r="214">
          <cell r="D214" t="str">
            <v/>
          </cell>
          <cell r="E214" t="str">
            <v/>
          </cell>
          <cell r="F214" t="str">
            <v/>
          </cell>
          <cell r="I214"/>
          <cell r="J214"/>
        </row>
        <row r="215">
          <cell r="D215" t="str">
            <v/>
          </cell>
          <cell r="E215" t="str">
            <v/>
          </cell>
          <cell r="F215" t="str">
            <v/>
          </cell>
          <cell r="I215"/>
          <cell r="J215"/>
        </row>
        <row r="216">
          <cell r="D216" t="str">
            <v/>
          </cell>
          <cell r="E216" t="str">
            <v/>
          </cell>
          <cell r="F216" t="str">
            <v/>
          </cell>
          <cell r="I216"/>
          <cell r="J216"/>
        </row>
        <row r="217">
          <cell r="D217" t="str">
            <v/>
          </cell>
          <cell r="E217" t="str">
            <v/>
          </cell>
          <cell r="F217" t="str">
            <v/>
          </cell>
          <cell r="I217"/>
          <cell r="J217"/>
        </row>
        <row r="218">
          <cell r="D218" t="str">
            <v/>
          </cell>
          <cell r="E218" t="str">
            <v/>
          </cell>
          <cell r="F218" t="str">
            <v/>
          </cell>
          <cell r="I218"/>
          <cell r="J218"/>
        </row>
        <row r="219">
          <cell r="D219" t="str">
            <v/>
          </cell>
          <cell r="E219" t="str">
            <v/>
          </cell>
          <cell r="F219" t="str">
            <v/>
          </cell>
          <cell r="I219"/>
          <cell r="J219"/>
        </row>
        <row r="220">
          <cell r="D220" t="str">
            <v/>
          </cell>
          <cell r="E220" t="str">
            <v/>
          </cell>
          <cell r="F220" t="str">
            <v/>
          </cell>
          <cell r="I220"/>
          <cell r="J220"/>
        </row>
        <row r="221">
          <cell r="D221" t="str">
            <v/>
          </cell>
          <cell r="E221" t="str">
            <v/>
          </cell>
          <cell r="F221" t="str">
            <v/>
          </cell>
          <cell r="I221"/>
          <cell r="J221"/>
        </row>
        <row r="222">
          <cell r="D222" t="str">
            <v/>
          </cell>
          <cell r="E222" t="str">
            <v/>
          </cell>
          <cell r="F222" t="str">
            <v/>
          </cell>
          <cell r="I222"/>
          <cell r="J222"/>
        </row>
        <row r="223">
          <cell r="D223" t="str">
            <v/>
          </cell>
          <cell r="E223" t="str">
            <v/>
          </cell>
          <cell r="F223" t="str">
            <v/>
          </cell>
          <cell r="I223"/>
          <cell r="J223"/>
        </row>
        <row r="224">
          <cell r="D224" t="str">
            <v/>
          </cell>
          <cell r="E224" t="str">
            <v/>
          </cell>
          <cell r="F224" t="str">
            <v/>
          </cell>
          <cell r="I224"/>
          <cell r="J224"/>
        </row>
        <row r="225">
          <cell r="D225" t="str">
            <v/>
          </cell>
          <cell r="E225" t="str">
            <v/>
          </cell>
          <cell r="F225" t="str">
            <v/>
          </cell>
          <cell r="I225"/>
          <cell r="J225"/>
        </row>
        <row r="226">
          <cell r="D226" t="str">
            <v/>
          </cell>
          <cell r="E226" t="str">
            <v/>
          </cell>
          <cell r="F226" t="str">
            <v/>
          </cell>
          <cell r="I226"/>
          <cell r="J226"/>
        </row>
        <row r="227">
          <cell r="D227" t="str">
            <v/>
          </cell>
          <cell r="E227" t="str">
            <v/>
          </cell>
          <cell r="F227" t="str">
            <v/>
          </cell>
          <cell r="I227"/>
          <cell r="J227"/>
        </row>
        <row r="228">
          <cell r="D228" t="str">
            <v/>
          </cell>
          <cell r="E228" t="str">
            <v/>
          </cell>
          <cell r="F228" t="str">
            <v/>
          </cell>
          <cell r="I228"/>
          <cell r="J228"/>
        </row>
        <row r="229">
          <cell r="D229" t="str">
            <v/>
          </cell>
          <cell r="E229" t="str">
            <v/>
          </cell>
          <cell r="F229" t="str">
            <v/>
          </cell>
          <cell r="I229"/>
          <cell r="J229"/>
        </row>
        <row r="230">
          <cell r="D230" t="str">
            <v/>
          </cell>
          <cell r="E230" t="str">
            <v/>
          </cell>
          <cell r="F230" t="str">
            <v/>
          </cell>
          <cell r="I230"/>
          <cell r="J230"/>
        </row>
        <row r="231">
          <cell r="D231" t="str">
            <v/>
          </cell>
          <cell r="E231" t="str">
            <v/>
          </cell>
          <cell r="F231" t="str">
            <v/>
          </cell>
          <cell r="I231"/>
          <cell r="J231"/>
        </row>
        <row r="232">
          <cell r="D232" t="str">
            <v/>
          </cell>
          <cell r="E232" t="str">
            <v/>
          </cell>
          <cell r="F232" t="str">
            <v/>
          </cell>
          <cell r="I232"/>
          <cell r="J232"/>
        </row>
        <row r="233">
          <cell r="D233" t="str">
            <v/>
          </cell>
          <cell r="E233" t="str">
            <v/>
          </cell>
          <cell r="F233" t="str">
            <v/>
          </cell>
          <cell r="I233"/>
          <cell r="J233"/>
        </row>
        <row r="234">
          <cell r="D234" t="str">
            <v/>
          </cell>
          <cell r="E234" t="str">
            <v/>
          </cell>
          <cell r="F234" t="str">
            <v/>
          </cell>
          <cell r="I234"/>
          <cell r="J234"/>
        </row>
        <row r="235">
          <cell r="D235" t="str">
            <v/>
          </cell>
          <cell r="E235" t="str">
            <v/>
          </cell>
          <cell r="F235" t="str">
            <v/>
          </cell>
          <cell r="I235"/>
          <cell r="J235"/>
        </row>
        <row r="236">
          <cell r="D236" t="str">
            <v/>
          </cell>
          <cell r="E236" t="str">
            <v/>
          </cell>
          <cell r="F236" t="str">
            <v/>
          </cell>
          <cell r="I236"/>
          <cell r="J236"/>
        </row>
        <row r="237">
          <cell r="D237" t="str">
            <v/>
          </cell>
          <cell r="E237" t="str">
            <v/>
          </cell>
          <cell r="F237" t="str">
            <v/>
          </cell>
          <cell r="I237"/>
          <cell r="J237"/>
        </row>
        <row r="238">
          <cell r="D238" t="str">
            <v/>
          </cell>
          <cell r="E238" t="str">
            <v/>
          </cell>
          <cell r="F238" t="str">
            <v/>
          </cell>
          <cell r="I238"/>
          <cell r="J238"/>
        </row>
        <row r="239">
          <cell r="D239" t="str">
            <v/>
          </cell>
          <cell r="E239" t="str">
            <v/>
          </cell>
          <cell r="F239" t="str">
            <v/>
          </cell>
          <cell r="I239"/>
          <cell r="J239"/>
        </row>
        <row r="240">
          <cell r="D240" t="str">
            <v/>
          </cell>
          <cell r="E240" t="str">
            <v/>
          </cell>
          <cell r="F240" t="str">
            <v/>
          </cell>
          <cell r="I240"/>
          <cell r="J240"/>
        </row>
        <row r="241">
          <cell r="D241" t="str">
            <v/>
          </cell>
          <cell r="E241" t="str">
            <v/>
          </cell>
          <cell r="F241" t="str">
            <v/>
          </cell>
          <cell r="I241"/>
          <cell r="J241"/>
        </row>
        <row r="242">
          <cell r="D242" t="str">
            <v/>
          </cell>
          <cell r="E242" t="str">
            <v/>
          </cell>
          <cell r="F242" t="str">
            <v/>
          </cell>
          <cell r="I242"/>
          <cell r="J242"/>
        </row>
        <row r="243">
          <cell r="D243" t="str">
            <v/>
          </cell>
          <cell r="E243" t="str">
            <v/>
          </cell>
          <cell r="F243" t="str">
            <v/>
          </cell>
          <cell r="I243"/>
          <cell r="J243"/>
        </row>
        <row r="244">
          <cell r="D244" t="str">
            <v/>
          </cell>
          <cell r="E244" t="str">
            <v/>
          </cell>
          <cell r="F244" t="str">
            <v/>
          </cell>
          <cell r="I244"/>
          <cell r="J244"/>
        </row>
        <row r="245">
          <cell r="D245" t="str">
            <v/>
          </cell>
          <cell r="E245" t="str">
            <v/>
          </cell>
          <cell r="F245" t="str">
            <v/>
          </cell>
          <cell r="I245"/>
          <cell r="J245"/>
        </row>
        <row r="246">
          <cell r="D246" t="str">
            <v/>
          </cell>
          <cell r="E246" t="str">
            <v/>
          </cell>
          <cell r="F246" t="str">
            <v/>
          </cell>
          <cell r="I246"/>
          <cell r="J246"/>
        </row>
        <row r="247">
          <cell r="D247" t="str">
            <v/>
          </cell>
          <cell r="E247" t="str">
            <v/>
          </cell>
          <cell r="F247" t="str">
            <v/>
          </cell>
          <cell r="I247"/>
          <cell r="J247"/>
        </row>
        <row r="248">
          <cell r="D248" t="str">
            <v/>
          </cell>
          <cell r="E248" t="str">
            <v/>
          </cell>
          <cell r="F248" t="str">
            <v/>
          </cell>
          <cell r="I248"/>
          <cell r="J248"/>
        </row>
        <row r="249">
          <cell r="D249" t="str">
            <v/>
          </cell>
          <cell r="E249" t="str">
            <v/>
          </cell>
          <cell r="F249" t="str">
            <v/>
          </cell>
          <cell r="I249"/>
          <cell r="J249"/>
        </row>
        <row r="250">
          <cell r="D250" t="str">
            <v/>
          </cell>
          <cell r="E250" t="str">
            <v/>
          </cell>
          <cell r="F250" t="str">
            <v/>
          </cell>
          <cell r="I250"/>
          <cell r="J250"/>
        </row>
        <row r="251">
          <cell r="D251" t="str">
            <v/>
          </cell>
          <cell r="E251" t="str">
            <v/>
          </cell>
          <cell r="F251" t="str">
            <v/>
          </cell>
          <cell r="I251"/>
          <cell r="J251"/>
        </row>
        <row r="252">
          <cell r="D252" t="str">
            <v/>
          </cell>
          <cell r="E252" t="str">
            <v/>
          </cell>
          <cell r="F252" t="str">
            <v/>
          </cell>
          <cell r="I252"/>
          <cell r="J252"/>
        </row>
        <row r="253">
          <cell r="D253" t="str">
            <v/>
          </cell>
          <cell r="E253" t="str">
            <v/>
          </cell>
          <cell r="F253" t="str">
            <v/>
          </cell>
          <cell r="I253"/>
          <cell r="J253"/>
        </row>
        <row r="254">
          <cell r="D254" t="str">
            <v/>
          </cell>
          <cell r="E254" t="str">
            <v/>
          </cell>
          <cell r="F254" t="str">
            <v/>
          </cell>
          <cell r="I254"/>
          <cell r="J254"/>
        </row>
        <row r="255">
          <cell r="D255" t="str">
            <v/>
          </cell>
          <cell r="E255" t="str">
            <v/>
          </cell>
          <cell r="F255" t="str">
            <v/>
          </cell>
          <cell r="I255"/>
          <cell r="J255"/>
        </row>
        <row r="256">
          <cell r="D256" t="str">
            <v/>
          </cell>
          <cell r="E256" t="str">
            <v/>
          </cell>
          <cell r="F256" t="str">
            <v/>
          </cell>
          <cell r="I256"/>
          <cell r="J256"/>
        </row>
        <row r="257">
          <cell r="D257" t="str">
            <v/>
          </cell>
          <cell r="E257" t="str">
            <v/>
          </cell>
          <cell r="F257" t="str">
            <v/>
          </cell>
          <cell r="I257"/>
          <cell r="J257"/>
        </row>
        <row r="258">
          <cell r="D258" t="str">
            <v/>
          </cell>
          <cell r="E258" t="str">
            <v/>
          </cell>
          <cell r="F258" t="str">
            <v/>
          </cell>
          <cell r="I258"/>
          <cell r="J258"/>
        </row>
        <row r="259">
          <cell r="D259" t="str">
            <v/>
          </cell>
          <cell r="E259" t="str">
            <v/>
          </cell>
          <cell r="F259" t="str">
            <v/>
          </cell>
          <cell r="I259"/>
          <cell r="J259"/>
        </row>
        <row r="260">
          <cell r="D260" t="str">
            <v/>
          </cell>
          <cell r="E260" t="str">
            <v/>
          </cell>
          <cell r="F260" t="str">
            <v/>
          </cell>
          <cell r="I260"/>
          <cell r="J260"/>
        </row>
        <row r="261">
          <cell r="D261" t="str">
            <v/>
          </cell>
          <cell r="E261" t="str">
            <v/>
          </cell>
          <cell r="F261" t="str">
            <v/>
          </cell>
          <cell r="I261"/>
          <cell r="J261"/>
        </row>
        <row r="262">
          <cell r="D262" t="str">
            <v/>
          </cell>
          <cell r="E262" t="str">
            <v/>
          </cell>
          <cell r="F262" t="str">
            <v/>
          </cell>
          <cell r="I262"/>
          <cell r="J262"/>
        </row>
        <row r="263">
          <cell r="D263" t="str">
            <v/>
          </cell>
          <cell r="E263" t="str">
            <v/>
          </cell>
          <cell r="F263" t="str">
            <v/>
          </cell>
          <cell r="I263"/>
          <cell r="J263"/>
        </row>
        <row r="264">
          <cell r="D264" t="str">
            <v/>
          </cell>
          <cell r="E264" t="str">
            <v/>
          </cell>
          <cell r="F264" t="str">
            <v/>
          </cell>
          <cell r="I264"/>
          <cell r="J264"/>
        </row>
        <row r="265">
          <cell r="D265" t="str">
            <v/>
          </cell>
          <cell r="E265" t="str">
            <v/>
          </cell>
          <cell r="F265" t="str">
            <v/>
          </cell>
          <cell r="I265"/>
          <cell r="J265"/>
        </row>
        <row r="266">
          <cell r="D266" t="str">
            <v/>
          </cell>
          <cell r="E266" t="str">
            <v/>
          </cell>
          <cell r="F266" t="str">
            <v/>
          </cell>
          <cell r="I266"/>
          <cell r="J266"/>
        </row>
        <row r="267">
          <cell r="D267" t="str">
            <v/>
          </cell>
          <cell r="E267" t="str">
            <v/>
          </cell>
          <cell r="F267" t="str">
            <v/>
          </cell>
          <cell r="I267"/>
          <cell r="J267"/>
        </row>
        <row r="268">
          <cell r="D268" t="str">
            <v/>
          </cell>
          <cell r="E268" t="str">
            <v/>
          </cell>
          <cell r="F268" t="str">
            <v/>
          </cell>
          <cell r="I268"/>
          <cell r="J268"/>
        </row>
        <row r="269">
          <cell r="D269" t="str">
            <v/>
          </cell>
          <cell r="E269" t="str">
            <v/>
          </cell>
          <cell r="F269" t="str">
            <v/>
          </cell>
          <cell r="I269"/>
          <cell r="J269"/>
        </row>
        <row r="270">
          <cell r="D270" t="str">
            <v/>
          </cell>
          <cell r="E270" t="str">
            <v/>
          </cell>
          <cell r="F270" t="str">
            <v/>
          </cell>
          <cell r="I270"/>
          <cell r="J270"/>
        </row>
        <row r="271">
          <cell r="D271" t="str">
            <v/>
          </cell>
          <cell r="E271" t="str">
            <v/>
          </cell>
          <cell r="F271" t="str">
            <v/>
          </cell>
          <cell r="I271"/>
          <cell r="J271"/>
        </row>
        <row r="272">
          <cell r="D272" t="str">
            <v/>
          </cell>
          <cell r="E272" t="str">
            <v/>
          </cell>
          <cell r="F272" t="str">
            <v/>
          </cell>
          <cell r="I272"/>
          <cell r="J272"/>
        </row>
        <row r="273">
          <cell r="D273" t="str">
            <v/>
          </cell>
          <cell r="E273" t="str">
            <v/>
          </cell>
          <cell r="F273" t="str">
            <v/>
          </cell>
          <cell r="I273"/>
          <cell r="J273"/>
        </row>
        <row r="274">
          <cell r="D274" t="str">
            <v/>
          </cell>
          <cell r="E274" t="str">
            <v/>
          </cell>
          <cell r="F274" t="str">
            <v/>
          </cell>
          <cell r="I274"/>
          <cell r="J274"/>
        </row>
        <row r="275">
          <cell r="D275" t="str">
            <v/>
          </cell>
          <cell r="E275" t="str">
            <v/>
          </cell>
          <cell r="F275" t="str">
            <v/>
          </cell>
          <cell r="I275"/>
          <cell r="J275"/>
        </row>
        <row r="276">
          <cell r="D276" t="str">
            <v/>
          </cell>
          <cell r="E276" t="str">
            <v/>
          </cell>
          <cell r="F276" t="str">
            <v/>
          </cell>
          <cell r="I276"/>
          <cell r="J276"/>
        </row>
        <row r="277">
          <cell r="D277" t="str">
            <v/>
          </cell>
          <cell r="E277" t="str">
            <v/>
          </cell>
          <cell r="F277" t="str">
            <v/>
          </cell>
          <cell r="I277"/>
          <cell r="J277"/>
        </row>
        <row r="278">
          <cell r="D278" t="str">
            <v/>
          </cell>
          <cell r="E278" t="str">
            <v/>
          </cell>
          <cell r="F278" t="str">
            <v/>
          </cell>
          <cell r="I278"/>
          <cell r="J278"/>
        </row>
        <row r="279">
          <cell r="D279" t="str">
            <v/>
          </cell>
          <cell r="E279" t="str">
            <v/>
          </cell>
          <cell r="F279" t="str">
            <v/>
          </cell>
          <cell r="I279"/>
          <cell r="J279"/>
        </row>
        <row r="280">
          <cell r="D280" t="str">
            <v/>
          </cell>
          <cell r="E280" t="str">
            <v/>
          </cell>
          <cell r="F280" t="str">
            <v/>
          </cell>
          <cell r="I280"/>
          <cell r="J280"/>
        </row>
        <row r="281">
          <cell r="D281" t="str">
            <v/>
          </cell>
          <cell r="E281" t="str">
            <v/>
          </cell>
          <cell r="F281" t="str">
            <v/>
          </cell>
          <cell r="I281"/>
          <cell r="J281"/>
        </row>
        <row r="282">
          <cell r="D282" t="str">
            <v/>
          </cell>
          <cell r="E282" t="str">
            <v/>
          </cell>
          <cell r="F282" t="str">
            <v/>
          </cell>
          <cell r="I282"/>
          <cell r="J282"/>
        </row>
        <row r="283">
          <cell r="D283" t="str">
            <v/>
          </cell>
          <cell r="E283" t="str">
            <v/>
          </cell>
          <cell r="F283" t="str">
            <v/>
          </cell>
          <cell r="I283"/>
          <cell r="J283"/>
        </row>
        <row r="284">
          <cell r="D284" t="str">
            <v/>
          </cell>
          <cell r="E284" t="str">
            <v/>
          </cell>
          <cell r="F284" t="str">
            <v/>
          </cell>
          <cell r="I284"/>
          <cell r="J284"/>
        </row>
        <row r="285">
          <cell r="D285" t="str">
            <v/>
          </cell>
          <cell r="E285" t="str">
            <v/>
          </cell>
          <cell r="F285" t="str">
            <v/>
          </cell>
          <cell r="I285"/>
          <cell r="J285"/>
        </row>
        <row r="286">
          <cell r="D286" t="str">
            <v/>
          </cell>
          <cell r="E286" t="str">
            <v/>
          </cell>
          <cell r="F286" t="str">
            <v/>
          </cell>
          <cell r="I286"/>
          <cell r="J286"/>
        </row>
        <row r="287">
          <cell r="D287" t="str">
            <v/>
          </cell>
          <cell r="E287" t="str">
            <v/>
          </cell>
          <cell r="F287" t="str">
            <v/>
          </cell>
          <cell r="I287"/>
          <cell r="J287"/>
        </row>
        <row r="288">
          <cell r="D288" t="str">
            <v/>
          </cell>
          <cell r="E288" t="str">
            <v/>
          </cell>
          <cell r="F288" t="str">
            <v/>
          </cell>
          <cell r="I288"/>
          <cell r="J288"/>
        </row>
        <row r="289">
          <cell r="D289" t="str">
            <v/>
          </cell>
          <cell r="E289" t="str">
            <v/>
          </cell>
          <cell r="F289" t="str">
            <v/>
          </cell>
          <cell r="I289"/>
          <cell r="J289"/>
        </row>
        <row r="290">
          <cell r="D290" t="str">
            <v/>
          </cell>
          <cell r="E290" t="str">
            <v/>
          </cell>
          <cell r="F290" t="str">
            <v/>
          </cell>
          <cell r="I290"/>
          <cell r="J290"/>
        </row>
        <row r="291">
          <cell r="D291" t="str">
            <v/>
          </cell>
          <cell r="E291" t="str">
            <v/>
          </cell>
          <cell r="F291" t="str">
            <v/>
          </cell>
          <cell r="I291"/>
          <cell r="J291"/>
        </row>
        <row r="292">
          <cell r="D292" t="str">
            <v/>
          </cell>
          <cell r="E292" t="str">
            <v/>
          </cell>
          <cell r="F292" t="str">
            <v/>
          </cell>
          <cell r="I292"/>
          <cell r="J292"/>
        </row>
        <row r="293">
          <cell r="D293" t="str">
            <v/>
          </cell>
          <cell r="E293" t="str">
            <v/>
          </cell>
          <cell r="F293" t="str">
            <v/>
          </cell>
          <cell r="I293"/>
          <cell r="J293"/>
        </row>
        <row r="294">
          <cell r="D294" t="str">
            <v/>
          </cell>
          <cell r="E294" t="str">
            <v/>
          </cell>
          <cell r="F294" t="str">
            <v/>
          </cell>
          <cell r="I294"/>
          <cell r="J294"/>
        </row>
        <row r="295">
          <cell r="D295" t="str">
            <v/>
          </cell>
          <cell r="E295" t="str">
            <v/>
          </cell>
          <cell r="F295" t="str">
            <v/>
          </cell>
          <cell r="I295"/>
          <cell r="J295"/>
        </row>
        <row r="296">
          <cell r="D296" t="str">
            <v/>
          </cell>
          <cell r="E296" t="str">
            <v/>
          </cell>
          <cell r="F296" t="str">
            <v/>
          </cell>
          <cell r="I296"/>
          <cell r="J296"/>
        </row>
        <row r="297">
          <cell r="D297" t="str">
            <v/>
          </cell>
          <cell r="E297" t="str">
            <v/>
          </cell>
          <cell r="F297" t="str">
            <v/>
          </cell>
          <cell r="I297"/>
          <cell r="J297"/>
        </row>
        <row r="298">
          <cell r="D298" t="str">
            <v/>
          </cell>
          <cell r="E298" t="str">
            <v/>
          </cell>
          <cell r="F298" t="str">
            <v/>
          </cell>
          <cell r="I298"/>
          <cell r="J298"/>
        </row>
        <row r="299">
          <cell r="D299" t="str">
            <v/>
          </cell>
          <cell r="E299" t="str">
            <v/>
          </cell>
          <cell r="F299" t="str">
            <v/>
          </cell>
          <cell r="I299"/>
          <cell r="J299"/>
        </row>
        <row r="300">
          <cell r="D300" t="str">
            <v/>
          </cell>
          <cell r="E300" t="str">
            <v/>
          </cell>
          <cell r="F300" t="str">
            <v/>
          </cell>
          <cell r="I300"/>
          <cell r="J300"/>
        </row>
        <row r="301">
          <cell r="D301" t="str">
            <v/>
          </cell>
          <cell r="E301" t="str">
            <v/>
          </cell>
          <cell r="F301" t="str">
            <v/>
          </cell>
          <cell r="I301"/>
          <cell r="J301"/>
        </row>
        <row r="302">
          <cell r="D302" t="str">
            <v/>
          </cell>
          <cell r="E302" t="str">
            <v/>
          </cell>
          <cell r="F302" t="str">
            <v/>
          </cell>
          <cell r="I302"/>
          <cell r="J302"/>
        </row>
        <row r="303">
          <cell r="D303" t="str">
            <v/>
          </cell>
          <cell r="E303" t="str">
            <v/>
          </cell>
          <cell r="F303" t="str">
            <v/>
          </cell>
          <cell r="I303"/>
          <cell r="J303"/>
        </row>
        <row r="304">
          <cell r="D304" t="str">
            <v/>
          </cell>
          <cell r="E304" t="str">
            <v/>
          </cell>
          <cell r="F304" t="str">
            <v/>
          </cell>
          <cell r="I304"/>
          <cell r="J304"/>
        </row>
        <row r="305">
          <cell r="D305" t="str">
            <v/>
          </cell>
          <cell r="E305" t="str">
            <v/>
          </cell>
          <cell r="F305" t="str">
            <v/>
          </cell>
          <cell r="I305"/>
          <cell r="J305"/>
        </row>
        <row r="306">
          <cell r="D306" t="str">
            <v/>
          </cell>
          <cell r="E306" t="str">
            <v/>
          </cell>
          <cell r="F306" t="str">
            <v/>
          </cell>
          <cell r="I306"/>
          <cell r="J306"/>
        </row>
        <row r="307">
          <cell r="D307" t="str">
            <v/>
          </cell>
          <cell r="E307" t="str">
            <v/>
          </cell>
          <cell r="F307" t="str">
            <v/>
          </cell>
          <cell r="I307"/>
          <cell r="J307"/>
        </row>
        <row r="308">
          <cell r="D308" t="str">
            <v/>
          </cell>
          <cell r="E308" t="str">
            <v/>
          </cell>
          <cell r="F308" t="str">
            <v/>
          </cell>
          <cell r="I308"/>
          <cell r="J308"/>
        </row>
        <row r="309">
          <cell r="D309" t="str">
            <v/>
          </cell>
          <cell r="E309" t="str">
            <v/>
          </cell>
          <cell r="F309" t="str">
            <v/>
          </cell>
          <cell r="I309"/>
          <cell r="J309"/>
        </row>
        <row r="310">
          <cell r="D310" t="str">
            <v/>
          </cell>
          <cell r="E310" t="str">
            <v/>
          </cell>
          <cell r="F310" t="str">
            <v/>
          </cell>
          <cell r="I310"/>
          <cell r="J310"/>
        </row>
        <row r="311">
          <cell r="D311" t="str">
            <v/>
          </cell>
          <cell r="E311" t="str">
            <v/>
          </cell>
          <cell r="F311" t="str">
            <v/>
          </cell>
          <cell r="I311"/>
          <cell r="J311"/>
        </row>
        <row r="312">
          <cell r="D312" t="str">
            <v/>
          </cell>
          <cell r="E312" t="str">
            <v/>
          </cell>
          <cell r="F312" t="str">
            <v/>
          </cell>
          <cell r="I312"/>
          <cell r="J312"/>
        </row>
        <row r="313">
          <cell r="D313" t="str">
            <v/>
          </cell>
          <cell r="E313" t="str">
            <v/>
          </cell>
          <cell r="F313" t="str">
            <v/>
          </cell>
          <cell r="I313"/>
          <cell r="J313"/>
        </row>
        <row r="314">
          <cell r="D314" t="str">
            <v/>
          </cell>
          <cell r="E314" t="str">
            <v/>
          </cell>
          <cell r="F314" t="str">
            <v/>
          </cell>
          <cell r="I314"/>
          <cell r="J314"/>
        </row>
        <row r="315">
          <cell r="D315" t="str">
            <v/>
          </cell>
          <cell r="E315" t="str">
            <v/>
          </cell>
          <cell r="F315" t="str">
            <v/>
          </cell>
          <cell r="I315"/>
          <cell r="J315"/>
        </row>
        <row r="316">
          <cell r="D316" t="str">
            <v/>
          </cell>
          <cell r="E316" t="str">
            <v/>
          </cell>
          <cell r="F316" t="str">
            <v/>
          </cell>
          <cell r="I316"/>
          <cell r="J316"/>
        </row>
        <row r="317">
          <cell r="D317" t="str">
            <v/>
          </cell>
          <cell r="E317" t="str">
            <v/>
          </cell>
          <cell r="F317" t="str">
            <v/>
          </cell>
          <cell r="I317"/>
          <cell r="J317"/>
        </row>
        <row r="318">
          <cell r="D318" t="str">
            <v/>
          </cell>
          <cell r="E318" t="str">
            <v/>
          </cell>
          <cell r="F318" t="str">
            <v/>
          </cell>
          <cell r="I318"/>
          <cell r="J318"/>
        </row>
        <row r="319">
          <cell r="D319" t="str">
            <v/>
          </cell>
          <cell r="E319" t="str">
            <v/>
          </cell>
          <cell r="F319" t="str">
            <v/>
          </cell>
          <cell r="I319"/>
          <cell r="J319"/>
        </row>
        <row r="320">
          <cell r="D320" t="str">
            <v/>
          </cell>
          <cell r="E320" t="str">
            <v/>
          </cell>
          <cell r="F320" t="str">
            <v/>
          </cell>
          <cell r="I320"/>
          <cell r="J320"/>
        </row>
        <row r="321">
          <cell r="D321" t="str">
            <v/>
          </cell>
          <cell r="E321" t="str">
            <v/>
          </cell>
          <cell r="F321" t="str">
            <v/>
          </cell>
          <cell r="I321"/>
          <cell r="J321"/>
        </row>
        <row r="322">
          <cell r="D322" t="str">
            <v/>
          </cell>
          <cell r="E322" t="str">
            <v/>
          </cell>
          <cell r="F322" t="str">
            <v/>
          </cell>
          <cell r="I322"/>
          <cell r="J322"/>
        </row>
        <row r="323">
          <cell r="D323" t="str">
            <v/>
          </cell>
          <cell r="E323" t="str">
            <v/>
          </cell>
          <cell r="F323" t="str">
            <v/>
          </cell>
          <cell r="I323"/>
          <cell r="J323"/>
        </row>
        <row r="324">
          <cell r="D324" t="str">
            <v/>
          </cell>
          <cell r="E324" t="str">
            <v/>
          </cell>
          <cell r="F324" t="str">
            <v/>
          </cell>
          <cell r="I324"/>
          <cell r="J324"/>
        </row>
        <row r="325">
          <cell r="D325" t="str">
            <v/>
          </cell>
          <cell r="E325" t="str">
            <v/>
          </cell>
          <cell r="F325" t="str">
            <v/>
          </cell>
          <cell r="I325"/>
          <cell r="J325"/>
        </row>
        <row r="326">
          <cell r="D326" t="str">
            <v/>
          </cell>
          <cell r="E326" t="str">
            <v/>
          </cell>
          <cell r="F326" t="str">
            <v/>
          </cell>
          <cell r="I326"/>
          <cell r="J326"/>
        </row>
        <row r="327">
          <cell r="D327" t="str">
            <v/>
          </cell>
          <cell r="E327" t="str">
            <v/>
          </cell>
          <cell r="F327" t="str">
            <v/>
          </cell>
          <cell r="I327"/>
          <cell r="J327"/>
        </row>
        <row r="328">
          <cell r="D328" t="str">
            <v/>
          </cell>
          <cell r="E328" t="str">
            <v/>
          </cell>
          <cell r="F328" t="str">
            <v/>
          </cell>
          <cell r="I328"/>
          <cell r="J328"/>
        </row>
        <row r="329">
          <cell r="D329" t="str">
            <v/>
          </cell>
          <cell r="E329" t="str">
            <v/>
          </cell>
          <cell r="F329" t="str">
            <v/>
          </cell>
          <cell r="I329"/>
          <cell r="J329"/>
        </row>
        <row r="330">
          <cell r="D330" t="str">
            <v/>
          </cell>
          <cell r="E330" t="str">
            <v/>
          </cell>
          <cell r="F330" t="str">
            <v/>
          </cell>
          <cell r="I330"/>
          <cell r="J330"/>
        </row>
        <row r="331">
          <cell r="D331" t="str">
            <v/>
          </cell>
          <cell r="E331" t="str">
            <v/>
          </cell>
          <cell r="F331" t="str">
            <v/>
          </cell>
          <cell r="I331"/>
          <cell r="J331"/>
        </row>
        <row r="332">
          <cell r="D332" t="str">
            <v/>
          </cell>
          <cell r="E332" t="str">
            <v/>
          </cell>
          <cell r="F332" t="str">
            <v/>
          </cell>
          <cell r="I332"/>
          <cell r="J332"/>
        </row>
        <row r="333">
          <cell r="D333" t="str">
            <v/>
          </cell>
          <cell r="E333" t="str">
            <v/>
          </cell>
          <cell r="F333" t="str">
            <v/>
          </cell>
          <cell r="I333"/>
          <cell r="J333"/>
        </row>
        <row r="334">
          <cell r="D334" t="str">
            <v/>
          </cell>
          <cell r="E334" t="str">
            <v/>
          </cell>
          <cell r="F334" t="str">
            <v/>
          </cell>
          <cell r="I334"/>
          <cell r="J334"/>
        </row>
        <row r="335">
          <cell r="D335" t="str">
            <v/>
          </cell>
          <cell r="E335" t="str">
            <v/>
          </cell>
          <cell r="F335" t="str">
            <v/>
          </cell>
          <cell r="I335"/>
          <cell r="J335"/>
        </row>
        <row r="336">
          <cell r="D336" t="str">
            <v/>
          </cell>
          <cell r="E336" t="str">
            <v/>
          </cell>
          <cell r="F336" t="str">
            <v/>
          </cell>
          <cell r="I336"/>
          <cell r="J336"/>
        </row>
        <row r="337">
          <cell r="D337" t="str">
            <v/>
          </cell>
          <cell r="E337" t="str">
            <v/>
          </cell>
          <cell r="F337" t="str">
            <v/>
          </cell>
          <cell r="I337"/>
          <cell r="J337"/>
        </row>
        <row r="338">
          <cell r="D338" t="str">
            <v/>
          </cell>
          <cell r="E338" t="str">
            <v/>
          </cell>
          <cell r="F338" t="str">
            <v/>
          </cell>
          <cell r="I338"/>
          <cell r="J338"/>
        </row>
        <row r="339">
          <cell r="D339" t="str">
            <v/>
          </cell>
          <cell r="E339" t="str">
            <v/>
          </cell>
          <cell r="F339" t="str">
            <v/>
          </cell>
          <cell r="I339"/>
          <cell r="J339"/>
        </row>
        <row r="340">
          <cell r="D340" t="str">
            <v/>
          </cell>
          <cell r="E340" t="str">
            <v/>
          </cell>
          <cell r="F340" t="str">
            <v/>
          </cell>
          <cell r="I340"/>
          <cell r="J340"/>
        </row>
        <row r="341">
          <cell r="D341" t="str">
            <v/>
          </cell>
          <cell r="E341" t="str">
            <v/>
          </cell>
          <cell r="F341" t="str">
            <v/>
          </cell>
          <cell r="I341"/>
          <cell r="J341"/>
        </row>
        <row r="342">
          <cell r="D342" t="str">
            <v/>
          </cell>
          <cell r="E342" t="str">
            <v/>
          </cell>
          <cell r="F342" t="str">
            <v/>
          </cell>
          <cell r="I342"/>
          <cell r="J342"/>
        </row>
        <row r="343">
          <cell r="D343" t="str">
            <v/>
          </cell>
          <cell r="E343" t="str">
            <v/>
          </cell>
          <cell r="F343" t="str">
            <v/>
          </cell>
          <cell r="I343"/>
          <cell r="J343"/>
        </row>
        <row r="344">
          <cell r="D344" t="str">
            <v/>
          </cell>
          <cell r="E344" t="str">
            <v/>
          </cell>
          <cell r="F344" t="str">
            <v/>
          </cell>
          <cell r="I344"/>
          <cell r="J344"/>
        </row>
        <row r="345">
          <cell r="D345" t="str">
            <v/>
          </cell>
          <cell r="E345" t="str">
            <v/>
          </cell>
          <cell r="F345" t="str">
            <v/>
          </cell>
          <cell r="I345"/>
          <cell r="J345"/>
        </row>
        <row r="346">
          <cell r="D346" t="str">
            <v/>
          </cell>
          <cell r="E346" t="str">
            <v/>
          </cell>
          <cell r="F346" t="str">
            <v/>
          </cell>
          <cell r="I346"/>
          <cell r="J346"/>
        </row>
        <row r="347">
          <cell r="D347" t="str">
            <v/>
          </cell>
          <cell r="E347" t="str">
            <v/>
          </cell>
          <cell r="F347" t="str">
            <v/>
          </cell>
          <cell r="I347"/>
          <cell r="J347"/>
        </row>
        <row r="348">
          <cell r="D348" t="str">
            <v/>
          </cell>
          <cell r="E348" t="str">
            <v/>
          </cell>
          <cell r="F348" t="str">
            <v/>
          </cell>
          <cell r="I348"/>
          <cell r="J348"/>
        </row>
        <row r="349">
          <cell r="D349" t="str">
            <v/>
          </cell>
          <cell r="E349" t="str">
            <v/>
          </cell>
          <cell r="F349" t="str">
            <v/>
          </cell>
          <cell r="I349"/>
          <cell r="J349"/>
        </row>
        <row r="350">
          <cell r="D350" t="str">
            <v/>
          </cell>
          <cell r="E350" t="str">
            <v/>
          </cell>
          <cell r="F350" t="str">
            <v/>
          </cell>
          <cell r="I350"/>
          <cell r="J350"/>
        </row>
        <row r="351">
          <cell r="D351" t="str">
            <v/>
          </cell>
          <cell r="E351" t="str">
            <v/>
          </cell>
          <cell r="F351" t="str">
            <v/>
          </cell>
          <cell r="I351"/>
          <cell r="J351"/>
        </row>
        <row r="352">
          <cell r="D352" t="str">
            <v/>
          </cell>
          <cell r="E352" t="str">
            <v/>
          </cell>
          <cell r="F352" t="str">
            <v/>
          </cell>
          <cell r="I352"/>
          <cell r="J352"/>
        </row>
        <row r="353">
          <cell r="D353" t="str">
            <v/>
          </cell>
          <cell r="E353" t="str">
            <v/>
          </cell>
          <cell r="F353" t="str">
            <v/>
          </cell>
          <cell r="I353"/>
          <cell r="J353"/>
        </row>
        <row r="354">
          <cell r="D354" t="str">
            <v/>
          </cell>
          <cell r="E354" t="str">
            <v/>
          </cell>
          <cell r="F354" t="str">
            <v/>
          </cell>
          <cell r="I354"/>
          <cell r="J354"/>
        </row>
        <row r="355">
          <cell r="D355" t="str">
            <v/>
          </cell>
          <cell r="E355" t="str">
            <v/>
          </cell>
          <cell r="F355" t="str">
            <v/>
          </cell>
          <cell r="I355"/>
          <cell r="J355"/>
        </row>
        <row r="356">
          <cell r="D356" t="str">
            <v/>
          </cell>
          <cell r="E356" t="str">
            <v/>
          </cell>
          <cell r="F356" t="str">
            <v/>
          </cell>
          <cell r="I356"/>
          <cell r="J356"/>
        </row>
        <row r="357">
          <cell r="D357" t="str">
            <v/>
          </cell>
          <cell r="E357" t="str">
            <v/>
          </cell>
          <cell r="F357" t="str">
            <v/>
          </cell>
          <cell r="I357"/>
          <cell r="J357"/>
        </row>
        <row r="358">
          <cell r="D358" t="str">
            <v/>
          </cell>
          <cell r="E358" t="str">
            <v/>
          </cell>
          <cell r="F358" t="str">
            <v/>
          </cell>
          <cell r="I358"/>
          <cell r="J358"/>
        </row>
        <row r="359">
          <cell r="D359" t="str">
            <v/>
          </cell>
          <cell r="E359" t="str">
            <v/>
          </cell>
          <cell r="F359" t="str">
            <v/>
          </cell>
          <cell r="I359"/>
          <cell r="J359"/>
        </row>
        <row r="360">
          <cell r="D360" t="str">
            <v/>
          </cell>
          <cell r="E360" t="str">
            <v/>
          </cell>
          <cell r="F360" t="str">
            <v/>
          </cell>
          <cell r="I360"/>
          <cell r="J360"/>
        </row>
        <row r="361">
          <cell r="D361" t="str">
            <v/>
          </cell>
          <cell r="E361" t="str">
            <v/>
          </cell>
          <cell r="F361" t="str">
            <v/>
          </cell>
          <cell r="I361"/>
          <cell r="J361"/>
        </row>
        <row r="362">
          <cell r="D362" t="str">
            <v/>
          </cell>
          <cell r="E362" t="str">
            <v/>
          </cell>
          <cell r="F362" t="str">
            <v/>
          </cell>
          <cell r="I362"/>
          <cell r="J362"/>
        </row>
        <row r="363">
          <cell r="D363" t="str">
            <v/>
          </cell>
          <cell r="E363" t="str">
            <v/>
          </cell>
          <cell r="F363" t="str">
            <v/>
          </cell>
          <cell r="I363"/>
          <cell r="J363"/>
        </row>
        <row r="364">
          <cell r="D364" t="str">
            <v/>
          </cell>
          <cell r="E364" t="str">
            <v/>
          </cell>
          <cell r="F364" t="str">
            <v/>
          </cell>
          <cell r="I364"/>
          <cell r="J364"/>
        </row>
        <row r="365">
          <cell r="D365" t="str">
            <v/>
          </cell>
          <cell r="E365" t="str">
            <v/>
          </cell>
          <cell r="F365" t="str">
            <v/>
          </cell>
          <cell r="I365"/>
          <cell r="J365"/>
        </row>
        <row r="366">
          <cell r="D366" t="str">
            <v/>
          </cell>
          <cell r="E366" t="str">
            <v/>
          </cell>
          <cell r="F366" t="str">
            <v/>
          </cell>
          <cell r="I366"/>
          <cell r="J366"/>
        </row>
        <row r="367">
          <cell r="D367" t="str">
            <v/>
          </cell>
          <cell r="E367" t="str">
            <v/>
          </cell>
          <cell r="F367" t="str">
            <v/>
          </cell>
          <cell r="I367"/>
          <cell r="J367"/>
        </row>
        <row r="368">
          <cell r="D368" t="str">
            <v/>
          </cell>
          <cell r="E368" t="str">
            <v/>
          </cell>
          <cell r="F368" t="str">
            <v/>
          </cell>
          <cell r="I368"/>
          <cell r="J368"/>
        </row>
        <row r="369">
          <cell r="D369" t="str">
            <v/>
          </cell>
          <cell r="E369" t="str">
            <v/>
          </cell>
          <cell r="F369" t="str">
            <v/>
          </cell>
          <cell r="I369"/>
          <cell r="J369"/>
        </row>
        <row r="370">
          <cell r="D370" t="str">
            <v/>
          </cell>
          <cell r="E370" t="str">
            <v/>
          </cell>
          <cell r="F370" t="str">
            <v/>
          </cell>
          <cell r="I370"/>
          <cell r="J370"/>
        </row>
        <row r="371">
          <cell r="D371" t="str">
            <v/>
          </cell>
          <cell r="E371" t="str">
            <v/>
          </cell>
          <cell r="F371" t="str">
            <v/>
          </cell>
          <cell r="I371"/>
          <cell r="J371"/>
        </row>
        <row r="372">
          <cell r="D372" t="str">
            <v/>
          </cell>
          <cell r="E372" t="str">
            <v/>
          </cell>
          <cell r="F372" t="str">
            <v/>
          </cell>
          <cell r="I372"/>
          <cell r="J372"/>
        </row>
        <row r="373">
          <cell r="D373" t="str">
            <v/>
          </cell>
          <cell r="E373" t="str">
            <v/>
          </cell>
          <cell r="F373" t="str">
            <v/>
          </cell>
          <cell r="I373"/>
          <cell r="J373"/>
        </row>
        <row r="374">
          <cell r="D374" t="str">
            <v/>
          </cell>
          <cell r="E374" t="str">
            <v/>
          </cell>
          <cell r="F374" t="str">
            <v/>
          </cell>
          <cell r="I374"/>
          <cell r="J374"/>
        </row>
        <row r="375">
          <cell r="D375" t="str">
            <v/>
          </cell>
          <cell r="E375" t="str">
            <v/>
          </cell>
          <cell r="F375" t="str">
            <v/>
          </cell>
          <cell r="I375"/>
          <cell r="J375"/>
        </row>
        <row r="376">
          <cell r="D376" t="str">
            <v/>
          </cell>
          <cell r="E376" t="str">
            <v/>
          </cell>
          <cell r="F376" t="str">
            <v/>
          </cell>
          <cell r="I376"/>
          <cell r="J376"/>
        </row>
        <row r="377">
          <cell r="D377" t="str">
            <v/>
          </cell>
          <cell r="E377" t="str">
            <v/>
          </cell>
          <cell r="F377" t="str">
            <v/>
          </cell>
          <cell r="I377"/>
          <cell r="J377"/>
        </row>
        <row r="378">
          <cell r="D378" t="str">
            <v/>
          </cell>
          <cell r="E378" t="str">
            <v/>
          </cell>
          <cell r="F378" t="str">
            <v/>
          </cell>
          <cell r="I378"/>
          <cell r="J378"/>
        </row>
        <row r="379">
          <cell r="D379" t="str">
            <v/>
          </cell>
          <cell r="E379" t="str">
            <v/>
          </cell>
          <cell r="F379" t="str">
            <v/>
          </cell>
          <cell r="I379"/>
          <cell r="J379"/>
        </row>
        <row r="380">
          <cell r="D380" t="str">
            <v/>
          </cell>
          <cell r="E380" t="str">
            <v/>
          </cell>
          <cell r="F380" t="str">
            <v/>
          </cell>
          <cell r="I380"/>
          <cell r="J380"/>
        </row>
        <row r="381">
          <cell r="D381" t="str">
            <v/>
          </cell>
          <cell r="E381" t="str">
            <v/>
          </cell>
          <cell r="F381" t="str">
            <v/>
          </cell>
          <cell r="I381"/>
          <cell r="J381"/>
        </row>
        <row r="382">
          <cell r="D382" t="str">
            <v/>
          </cell>
          <cell r="E382" t="str">
            <v/>
          </cell>
          <cell r="F382" t="str">
            <v/>
          </cell>
          <cell r="I382"/>
          <cell r="J382"/>
        </row>
        <row r="383">
          <cell r="D383" t="str">
            <v/>
          </cell>
          <cell r="E383" t="str">
            <v/>
          </cell>
          <cell r="F383" t="str">
            <v/>
          </cell>
          <cell r="I383"/>
          <cell r="J383"/>
        </row>
        <row r="384">
          <cell r="D384" t="str">
            <v/>
          </cell>
          <cell r="E384" t="str">
            <v/>
          </cell>
          <cell r="F384" t="str">
            <v/>
          </cell>
          <cell r="I384"/>
          <cell r="J384"/>
        </row>
        <row r="385">
          <cell r="D385" t="str">
            <v/>
          </cell>
          <cell r="E385" t="str">
            <v/>
          </cell>
          <cell r="F385" t="str">
            <v/>
          </cell>
          <cell r="I385"/>
          <cell r="J385"/>
        </row>
        <row r="386">
          <cell r="D386" t="str">
            <v/>
          </cell>
          <cell r="E386" t="str">
            <v/>
          </cell>
          <cell r="F386" t="str">
            <v/>
          </cell>
          <cell r="I386"/>
          <cell r="J386"/>
        </row>
        <row r="387">
          <cell r="D387" t="str">
            <v/>
          </cell>
          <cell r="E387" t="str">
            <v/>
          </cell>
          <cell r="F387" t="str">
            <v/>
          </cell>
          <cell r="I387"/>
          <cell r="J387"/>
        </row>
        <row r="388">
          <cell r="D388" t="str">
            <v/>
          </cell>
          <cell r="E388" t="str">
            <v/>
          </cell>
          <cell r="F388" t="str">
            <v/>
          </cell>
          <cell r="I388"/>
          <cell r="J388"/>
        </row>
        <row r="389">
          <cell r="D389" t="str">
            <v/>
          </cell>
          <cell r="E389" t="str">
            <v/>
          </cell>
          <cell r="F389" t="str">
            <v/>
          </cell>
          <cell r="I389"/>
          <cell r="J389"/>
        </row>
        <row r="390">
          <cell r="D390" t="str">
            <v/>
          </cell>
          <cell r="E390" t="str">
            <v/>
          </cell>
          <cell r="F390" t="str">
            <v/>
          </cell>
          <cell r="I390"/>
          <cell r="J390"/>
        </row>
        <row r="391">
          <cell r="D391" t="str">
            <v/>
          </cell>
          <cell r="E391" t="str">
            <v/>
          </cell>
          <cell r="F391" t="str">
            <v/>
          </cell>
          <cell r="I391"/>
          <cell r="J391"/>
        </row>
        <row r="392">
          <cell r="D392" t="str">
            <v/>
          </cell>
          <cell r="E392" t="str">
            <v/>
          </cell>
          <cell r="F392" t="str">
            <v/>
          </cell>
          <cell r="I392"/>
          <cell r="J392"/>
        </row>
        <row r="393">
          <cell r="D393" t="str">
            <v/>
          </cell>
          <cell r="E393" t="str">
            <v/>
          </cell>
          <cell r="F393" t="str">
            <v/>
          </cell>
          <cell r="I393"/>
          <cell r="J393"/>
        </row>
        <row r="394">
          <cell r="D394" t="str">
            <v/>
          </cell>
          <cell r="E394" t="str">
            <v/>
          </cell>
          <cell r="F394" t="str">
            <v/>
          </cell>
          <cell r="I394"/>
          <cell r="J394"/>
        </row>
        <row r="395">
          <cell r="D395" t="str">
            <v/>
          </cell>
          <cell r="E395" t="str">
            <v/>
          </cell>
          <cell r="F395" t="str">
            <v/>
          </cell>
          <cell r="I395"/>
          <cell r="J395"/>
        </row>
        <row r="396">
          <cell r="D396" t="str">
            <v/>
          </cell>
          <cell r="E396" t="str">
            <v/>
          </cell>
          <cell r="F396" t="str">
            <v/>
          </cell>
          <cell r="I396"/>
          <cell r="J396"/>
        </row>
        <row r="397">
          <cell r="D397" t="str">
            <v/>
          </cell>
          <cell r="E397" t="str">
            <v/>
          </cell>
          <cell r="F397" t="str">
            <v/>
          </cell>
          <cell r="I397"/>
          <cell r="J397"/>
        </row>
        <row r="398">
          <cell r="D398" t="str">
            <v/>
          </cell>
          <cell r="E398" t="str">
            <v/>
          </cell>
          <cell r="F398" t="str">
            <v/>
          </cell>
          <cell r="I398"/>
          <cell r="J398"/>
        </row>
        <row r="399">
          <cell r="D399" t="str">
            <v/>
          </cell>
          <cell r="E399" t="str">
            <v/>
          </cell>
          <cell r="F399" t="str">
            <v/>
          </cell>
          <cell r="I399"/>
          <cell r="J399"/>
        </row>
        <row r="400">
          <cell r="D400" t="str">
            <v/>
          </cell>
          <cell r="E400" t="str">
            <v/>
          </cell>
          <cell r="F400" t="str">
            <v/>
          </cell>
          <cell r="I400"/>
          <cell r="J400"/>
        </row>
        <row r="401">
          <cell r="D401" t="str">
            <v/>
          </cell>
          <cell r="E401" t="str">
            <v/>
          </cell>
          <cell r="F401" t="str">
            <v/>
          </cell>
          <cell r="I401"/>
          <cell r="J401"/>
        </row>
        <row r="402">
          <cell r="D402" t="str">
            <v/>
          </cell>
          <cell r="E402" t="str">
            <v/>
          </cell>
          <cell r="F402" t="str">
            <v/>
          </cell>
          <cell r="I402"/>
          <cell r="J402"/>
        </row>
        <row r="403">
          <cell r="D403" t="str">
            <v/>
          </cell>
          <cell r="E403" t="str">
            <v/>
          </cell>
          <cell r="F403" t="str">
            <v/>
          </cell>
          <cell r="I403"/>
          <cell r="J403"/>
        </row>
        <row r="404">
          <cell r="D404" t="str">
            <v/>
          </cell>
          <cell r="E404" t="str">
            <v/>
          </cell>
          <cell r="F404" t="str">
            <v/>
          </cell>
          <cell r="I404"/>
          <cell r="J404"/>
        </row>
        <row r="405">
          <cell r="D405" t="str">
            <v/>
          </cell>
          <cell r="E405" t="str">
            <v/>
          </cell>
          <cell r="F405" t="str">
            <v/>
          </cell>
          <cell r="I405"/>
          <cell r="J405"/>
        </row>
        <row r="406">
          <cell r="D406" t="str">
            <v/>
          </cell>
          <cell r="E406" t="str">
            <v/>
          </cell>
          <cell r="F406" t="str">
            <v/>
          </cell>
          <cell r="I406"/>
          <cell r="J406"/>
        </row>
        <row r="407">
          <cell r="D407" t="str">
            <v/>
          </cell>
          <cell r="E407" t="str">
            <v/>
          </cell>
          <cell r="F407" t="str">
            <v/>
          </cell>
          <cell r="I407"/>
          <cell r="J407"/>
        </row>
        <row r="408">
          <cell r="D408" t="str">
            <v/>
          </cell>
          <cell r="E408" t="str">
            <v/>
          </cell>
          <cell r="F408" t="str">
            <v/>
          </cell>
          <cell r="I408"/>
          <cell r="J408"/>
        </row>
        <row r="409">
          <cell r="D409" t="str">
            <v/>
          </cell>
          <cell r="E409" t="str">
            <v/>
          </cell>
          <cell r="F409" t="str">
            <v/>
          </cell>
          <cell r="I409"/>
          <cell r="J409"/>
        </row>
        <row r="410">
          <cell r="D410" t="str">
            <v/>
          </cell>
          <cell r="E410" t="str">
            <v/>
          </cell>
          <cell r="F410" t="str">
            <v/>
          </cell>
          <cell r="I410"/>
          <cell r="J410"/>
        </row>
        <row r="411">
          <cell r="D411" t="str">
            <v/>
          </cell>
          <cell r="E411" t="str">
            <v/>
          </cell>
          <cell r="F411" t="str">
            <v/>
          </cell>
          <cell r="I411"/>
          <cell r="J411"/>
        </row>
        <row r="412">
          <cell r="D412" t="str">
            <v/>
          </cell>
          <cell r="E412" t="str">
            <v/>
          </cell>
          <cell r="F412" t="str">
            <v/>
          </cell>
          <cell r="I412"/>
          <cell r="J412"/>
        </row>
        <row r="413">
          <cell r="D413" t="str">
            <v/>
          </cell>
          <cell r="E413" t="str">
            <v/>
          </cell>
          <cell r="F413" t="str">
            <v/>
          </cell>
          <cell r="I413"/>
          <cell r="J413"/>
        </row>
        <row r="414">
          <cell r="D414" t="str">
            <v/>
          </cell>
          <cell r="E414" t="str">
            <v/>
          </cell>
          <cell r="F414" t="str">
            <v/>
          </cell>
          <cell r="I414"/>
          <cell r="J414"/>
        </row>
        <row r="415">
          <cell r="D415" t="str">
            <v/>
          </cell>
          <cell r="E415" t="str">
            <v/>
          </cell>
          <cell r="F415" t="str">
            <v/>
          </cell>
          <cell r="I415"/>
          <cell r="J415"/>
        </row>
        <row r="416">
          <cell r="D416" t="str">
            <v/>
          </cell>
          <cell r="E416" t="str">
            <v/>
          </cell>
          <cell r="F416" t="str">
            <v/>
          </cell>
          <cell r="I416"/>
          <cell r="J416"/>
        </row>
        <row r="417">
          <cell r="D417" t="str">
            <v/>
          </cell>
          <cell r="E417" t="str">
            <v/>
          </cell>
          <cell r="F417" t="str">
            <v/>
          </cell>
          <cell r="I417"/>
          <cell r="J417"/>
        </row>
        <row r="418">
          <cell r="D418" t="str">
            <v/>
          </cell>
          <cell r="E418" t="str">
            <v/>
          </cell>
          <cell r="F418" t="str">
            <v/>
          </cell>
          <cell r="I418"/>
          <cell r="J418"/>
        </row>
        <row r="419">
          <cell r="D419" t="str">
            <v/>
          </cell>
          <cell r="E419" t="str">
            <v/>
          </cell>
          <cell r="F419" t="str">
            <v/>
          </cell>
          <cell r="I419"/>
          <cell r="J419"/>
        </row>
        <row r="420">
          <cell r="D420" t="str">
            <v/>
          </cell>
          <cell r="E420" t="str">
            <v/>
          </cell>
          <cell r="F420" t="str">
            <v/>
          </cell>
          <cell r="I420"/>
          <cell r="J420"/>
        </row>
        <row r="421">
          <cell r="D421" t="str">
            <v/>
          </cell>
          <cell r="E421" t="str">
            <v/>
          </cell>
          <cell r="F421" t="str">
            <v/>
          </cell>
          <cell r="I421"/>
          <cell r="J421"/>
        </row>
        <row r="422">
          <cell r="D422" t="str">
            <v/>
          </cell>
          <cell r="E422" t="str">
            <v/>
          </cell>
          <cell r="F422" t="str">
            <v/>
          </cell>
          <cell r="I422"/>
          <cell r="J422"/>
        </row>
        <row r="423">
          <cell r="D423" t="str">
            <v/>
          </cell>
          <cell r="E423" t="str">
            <v/>
          </cell>
          <cell r="F423" t="str">
            <v/>
          </cell>
          <cell r="I423"/>
          <cell r="J423"/>
        </row>
        <row r="424">
          <cell r="D424" t="str">
            <v/>
          </cell>
          <cell r="E424" t="str">
            <v/>
          </cell>
          <cell r="F424" t="str">
            <v/>
          </cell>
          <cell r="I424"/>
          <cell r="J424"/>
        </row>
        <row r="425">
          <cell r="D425" t="str">
            <v/>
          </cell>
          <cell r="E425" t="str">
            <v/>
          </cell>
          <cell r="F425" t="str">
            <v/>
          </cell>
          <cell r="I425"/>
          <cell r="J425"/>
        </row>
        <row r="426">
          <cell r="D426" t="str">
            <v/>
          </cell>
          <cell r="E426" t="str">
            <v/>
          </cell>
          <cell r="F426" t="str">
            <v/>
          </cell>
          <cell r="I426"/>
          <cell r="J426"/>
        </row>
        <row r="427">
          <cell r="D427" t="str">
            <v/>
          </cell>
          <cell r="E427" t="str">
            <v/>
          </cell>
          <cell r="F427" t="str">
            <v/>
          </cell>
          <cell r="I427"/>
          <cell r="J427"/>
        </row>
        <row r="428">
          <cell r="D428" t="str">
            <v/>
          </cell>
          <cell r="E428" t="str">
            <v/>
          </cell>
          <cell r="F428" t="str">
            <v/>
          </cell>
          <cell r="I428"/>
          <cell r="J428"/>
        </row>
        <row r="429">
          <cell r="D429" t="str">
            <v/>
          </cell>
          <cell r="E429" t="str">
            <v/>
          </cell>
          <cell r="F429" t="str">
            <v/>
          </cell>
          <cell r="I429"/>
          <cell r="J429"/>
        </row>
        <row r="430">
          <cell r="D430" t="str">
            <v/>
          </cell>
          <cell r="E430" t="str">
            <v/>
          </cell>
          <cell r="F430" t="str">
            <v/>
          </cell>
          <cell r="I430"/>
          <cell r="J430"/>
        </row>
        <row r="431">
          <cell r="D431" t="str">
            <v/>
          </cell>
          <cell r="E431" t="str">
            <v/>
          </cell>
          <cell r="F431" t="str">
            <v/>
          </cell>
          <cell r="I431"/>
          <cell r="J431"/>
        </row>
        <row r="432">
          <cell r="D432" t="str">
            <v/>
          </cell>
          <cell r="E432" t="str">
            <v/>
          </cell>
          <cell r="F432" t="str">
            <v/>
          </cell>
          <cell r="I432"/>
          <cell r="J432"/>
        </row>
        <row r="433">
          <cell r="D433" t="str">
            <v/>
          </cell>
          <cell r="E433" t="str">
            <v/>
          </cell>
          <cell r="F433" t="str">
            <v/>
          </cell>
          <cell r="I433"/>
          <cell r="J433"/>
        </row>
        <row r="434">
          <cell r="D434" t="str">
            <v/>
          </cell>
          <cell r="E434" t="str">
            <v/>
          </cell>
          <cell r="F434" t="str">
            <v/>
          </cell>
          <cell r="I434"/>
          <cell r="J434"/>
        </row>
        <row r="435">
          <cell r="D435" t="str">
            <v/>
          </cell>
          <cell r="E435" t="str">
            <v/>
          </cell>
          <cell r="F435" t="str">
            <v/>
          </cell>
          <cell r="I435"/>
          <cell r="J435"/>
        </row>
        <row r="436">
          <cell r="D436" t="str">
            <v/>
          </cell>
          <cell r="E436" t="str">
            <v/>
          </cell>
          <cell r="F436" t="str">
            <v/>
          </cell>
          <cell r="I436"/>
          <cell r="J436"/>
        </row>
        <row r="437">
          <cell r="D437" t="str">
            <v/>
          </cell>
          <cell r="E437" t="str">
            <v/>
          </cell>
          <cell r="F437" t="str">
            <v/>
          </cell>
          <cell r="I437"/>
          <cell r="J437"/>
        </row>
        <row r="438">
          <cell r="D438" t="str">
            <v/>
          </cell>
          <cell r="E438" t="str">
            <v/>
          </cell>
          <cell r="F438" t="str">
            <v/>
          </cell>
          <cell r="I438"/>
          <cell r="J438"/>
        </row>
        <row r="439">
          <cell r="D439" t="str">
            <v/>
          </cell>
          <cell r="E439" t="str">
            <v/>
          </cell>
          <cell r="F439" t="str">
            <v/>
          </cell>
          <cell r="I439"/>
          <cell r="J439"/>
        </row>
        <row r="440">
          <cell r="D440" t="str">
            <v/>
          </cell>
          <cell r="E440" t="str">
            <v/>
          </cell>
          <cell r="F440" t="str">
            <v/>
          </cell>
          <cell r="I440"/>
          <cell r="J440"/>
        </row>
        <row r="441">
          <cell r="D441" t="str">
            <v/>
          </cell>
          <cell r="E441" t="str">
            <v/>
          </cell>
          <cell r="F441" t="str">
            <v/>
          </cell>
          <cell r="I441"/>
          <cell r="J441"/>
        </row>
        <row r="442">
          <cell r="D442" t="str">
            <v/>
          </cell>
          <cell r="E442" t="str">
            <v/>
          </cell>
          <cell r="F442" t="str">
            <v/>
          </cell>
          <cell r="I442"/>
          <cell r="J442"/>
        </row>
        <row r="443">
          <cell r="D443" t="str">
            <v/>
          </cell>
          <cell r="E443" t="str">
            <v/>
          </cell>
          <cell r="F443" t="str">
            <v/>
          </cell>
          <cell r="I443"/>
          <cell r="J443"/>
        </row>
        <row r="444">
          <cell r="D444" t="str">
            <v/>
          </cell>
          <cell r="E444" t="str">
            <v/>
          </cell>
          <cell r="F444" t="str">
            <v/>
          </cell>
          <cell r="I444"/>
          <cell r="J444"/>
        </row>
        <row r="445">
          <cell r="D445" t="str">
            <v/>
          </cell>
          <cell r="E445" t="str">
            <v/>
          </cell>
          <cell r="F445" t="str">
            <v/>
          </cell>
          <cell r="I445"/>
          <cell r="J445"/>
        </row>
        <row r="446">
          <cell r="D446" t="str">
            <v/>
          </cell>
          <cell r="E446" t="str">
            <v/>
          </cell>
          <cell r="F446" t="str">
            <v/>
          </cell>
          <cell r="I446"/>
          <cell r="J446"/>
        </row>
        <row r="447">
          <cell r="D447" t="str">
            <v/>
          </cell>
          <cell r="E447" t="str">
            <v/>
          </cell>
          <cell r="F447" t="str">
            <v/>
          </cell>
          <cell r="I447"/>
          <cell r="J447"/>
        </row>
        <row r="448">
          <cell r="D448" t="str">
            <v/>
          </cell>
          <cell r="E448" t="str">
            <v/>
          </cell>
          <cell r="F448" t="str">
            <v/>
          </cell>
          <cell r="I448"/>
          <cell r="J448"/>
        </row>
        <row r="449">
          <cell r="D449" t="str">
            <v/>
          </cell>
          <cell r="E449" t="str">
            <v/>
          </cell>
          <cell r="F449" t="str">
            <v/>
          </cell>
          <cell r="I449"/>
          <cell r="J449"/>
        </row>
        <row r="450">
          <cell r="D450" t="str">
            <v/>
          </cell>
          <cell r="E450" t="str">
            <v/>
          </cell>
          <cell r="F450" t="str">
            <v/>
          </cell>
          <cell r="I450"/>
          <cell r="J450"/>
        </row>
        <row r="451">
          <cell r="D451" t="str">
            <v/>
          </cell>
          <cell r="E451" t="str">
            <v/>
          </cell>
          <cell r="F451" t="str">
            <v/>
          </cell>
          <cell r="I451"/>
          <cell r="J451"/>
        </row>
        <row r="452">
          <cell r="D452" t="str">
            <v/>
          </cell>
          <cell r="E452" t="str">
            <v/>
          </cell>
          <cell r="F452" t="str">
            <v/>
          </cell>
          <cell r="I452"/>
          <cell r="J452"/>
        </row>
        <row r="453">
          <cell r="D453" t="str">
            <v/>
          </cell>
          <cell r="E453" t="str">
            <v/>
          </cell>
          <cell r="F453" t="str">
            <v/>
          </cell>
          <cell r="I453"/>
          <cell r="J453"/>
        </row>
        <row r="454">
          <cell r="D454" t="str">
            <v/>
          </cell>
          <cell r="E454" t="str">
            <v/>
          </cell>
          <cell r="F454" t="str">
            <v/>
          </cell>
          <cell r="I454"/>
          <cell r="J454"/>
        </row>
        <row r="455">
          <cell r="D455" t="str">
            <v/>
          </cell>
          <cell r="E455" t="str">
            <v/>
          </cell>
          <cell r="F455" t="str">
            <v/>
          </cell>
          <cell r="I455"/>
          <cell r="J455"/>
        </row>
        <row r="456">
          <cell r="D456" t="str">
            <v/>
          </cell>
          <cell r="E456" t="str">
            <v/>
          </cell>
          <cell r="F456" t="str">
            <v/>
          </cell>
          <cell r="I456"/>
          <cell r="J456"/>
        </row>
        <row r="457">
          <cell r="D457" t="str">
            <v/>
          </cell>
          <cell r="E457" t="str">
            <v/>
          </cell>
          <cell r="F457" t="str">
            <v/>
          </cell>
          <cell r="I457"/>
          <cell r="J457"/>
        </row>
        <row r="458">
          <cell r="D458" t="str">
            <v/>
          </cell>
          <cell r="E458" t="str">
            <v/>
          </cell>
          <cell r="F458" t="str">
            <v/>
          </cell>
          <cell r="I458"/>
          <cell r="J458"/>
        </row>
        <row r="459">
          <cell r="D459" t="str">
            <v/>
          </cell>
          <cell r="E459" t="str">
            <v/>
          </cell>
          <cell r="F459" t="str">
            <v/>
          </cell>
          <cell r="I459"/>
          <cell r="J459"/>
        </row>
        <row r="460">
          <cell r="D460" t="str">
            <v/>
          </cell>
          <cell r="E460" t="str">
            <v/>
          </cell>
          <cell r="F460" t="str">
            <v/>
          </cell>
          <cell r="I460"/>
          <cell r="J460"/>
        </row>
        <row r="461">
          <cell r="D461" t="str">
            <v/>
          </cell>
          <cell r="E461" t="str">
            <v/>
          </cell>
          <cell r="F461" t="str">
            <v/>
          </cell>
          <cell r="I461"/>
          <cell r="J461"/>
        </row>
        <row r="462">
          <cell r="D462" t="str">
            <v/>
          </cell>
          <cell r="E462" t="str">
            <v/>
          </cell>
          <cell r="F462" t="str">
            <v/>
          </cell>
          <cell r="I462"/>
          <cell r="J462"/>
        </row>
        <row r="463">
          <cell r="D463" t="str">
            <v/>
          </cell>
          <cell r="E463" t="str">
            <v/>
          </cell>
          <cell r="F463" t="str">
            <v/>
          </cell>
          <cell r="I463"/>
          <cell r="J463"/>
        </row>
        <row r="464">
          <cell r="D464" t="str">
            <v/>
          </cell>
          <cell r="E464" t="str">
            <v/>
          </cell>
          <cell r="F464" t="str">
            <v/>
          </cell>
          <cell r="I464"/>
          <cell r="J464"/>
        </row>
        <row r="465">
          <cell r="D465" t="str">
            <v/>
          </cell>
          <cell r="E465" t="str">
            <v/>
          </cell>
          <cell r="F465" t="str">
            <v/>
          </cell>
          <cell r="I465"/>
          <cell r="J465"/>
        </row>
        <row r="466">
          <cell r="D466" t="str">
            <v/>
          </cell>
          <cell r="E466" t="str">
            <v/>
          </cell>
          <cell r="F466" t="str">
            <v/>
          </cell>
          <cell r="I466"/>
          <cell r="J466"/>
        </row>
        <row r="467">
          <cell r="D467" t="str">
            <v/>
          </cell>
          <cell r="E467" t="str">
            <v/>
          </cell>
          <cell r="F467" t="str">
            <v/>
          </cell>
          <cell r="I467"/>
          <cell r="J467"/>
        </row>
        <row r="468">
          <cell r="D468" t="str">
            <v/>
          </cell>
          <cell r="E468" t="str">
            <v/>
          </cell>
          <cell r="F468" t="str">
            <v/>
          </cell>
          <cell r="I468"/>
          <cell r="J468"/>
        </row>
        <row r="469">
          <cell r="D469" t="str">
            <v/>
          </cell>
          <cell r="E469" t="str">
            <v/>
          </cell>
          <cell r="F469" t="str">
            <v/>
          </cell>
          <cell r="I469"/>
          <cell r="J469"/>
        </row>
        <row r="470">
          <cell r="D470" t="str">
            <v/>
          </cell>
          <cell r="E470" t="str">
            <v/>
          </cell>
          <cell r="F470" t="str">
            <v/>
          </cell>
          <cell r="I470"/>
          <cell r="J470"/>
        </row>
        <row r="471">
          <cell r="D471" t="str">
            <v/>
          </cell>
          <cell r="E471" t="str">
            <v/>
          </cell>
          <cell r="F471" t="str">
            <v/>
          </cell>
          <cell r="I471"/>
          <cell r="J471"/>
        </row>
        <row r="472">
          <cell r="D472" t="str">
            <v/>
          </cell>
          <cell r="E472" t="str">
            <v/>
          </cell>
          <cell r="F472" t="str">
            <v/>
          </cell>
          <cell r="I472"/>
          <cell r="J472"/>
        </row>
        <row r="473">
          <cell r="D473" t="str">
            <v/>
          </cell>
          <cell r="E473" t="str">
            <v/>
          </cell>
          <cell r="F473" t="str">
            <v/>
          </cell>
          <cell r="I473"/>
          <cell r="J473"/>
        </row>
        <row r="474">
          <cell r="D474" t="str">
            <v/>
          </cell>
          <cell r="E474" t="str">
            <v/>
          </cell>
          <cell r="F474" t="str">
            <v/>
          </cell>
          <cell r="I474"/>
          <cell r="J474"/>
        </row>
        <row r="475">
          <cell r="D475" t="str">
            <v/>
          </cell>
          <cell r="E475" t="str">
            <v/>
          </cell>
          <cell r="F475" t="str">
            <v/>
          </cell>
          <cell r="I475"/>
          <cell r="J475"/>
        </row>
        <row r="476">
          <cell r="D476" t="str">
            <v/>
          </cell>
          <cell r="E476" t="str">
            <v/>
          </cell>
          <cell r="F476" t="str">
            <v/>
          </cell>
          <cell r="I476"/>
          <cell r="J476"/>
        </row>
        <row r="477">
          <cell r="D477" t="str">
            <v/>
          </cell>
          <cell r="E477" t="str">
            <v/>
          </cell>
          <cell r="F477" t="str">
            <v/>
          </cell>
          <cell r="I477"/>
          <cell r="J477"/>
        </row>
        <row r="478">
          <cell r="D478" t="str">
            <v/>
          </cell>
          <cell r="E478" t="str">
            <v/>
          </cell>
          <cell r="F478" t="str">
            <v/>
          </cell>
          <cell r="I478"/>
          <cell r="J478"/>
        </row>
        <row r="479">
          <cell r="D479" t="str">
            <v/>
          </cell>
          <cell r="E479" t="str">
            <v/>
          </cell>
          <cell r="F479" t="str">
            <v/>
          </cell>
          <cell r="I479"/>
          <cell r="J479"/>
        </row>
        <row r="480">
          <cell r="D480" t="str">
            <v/>
          </cell>
          <cell r="E480" t="str">
            <v/>
          </cell>
          <cell r="F480" t="str">
            <v/>
          </cell>
          <cell r="I480"/>
          <cell r="J480"/>
        </row>
        <row r="481">
          <cell r="D481" t="str">
            <v/>
          </cell>
          <cell r="E481" t="str">
            <v/>
          </cell>
          <cell r="F481" t="str">
            <v/>
          </cell>
          <cell r="I481"/>
          <cell r="J481"/>
        </row>
        <row r="482">
          <cell r="D482" t="str">
            <v/>
          </cell>
          <cell r="E482" t="str">
            <v/>
          </cell>
          <cell r="F482" t="str">
            <v/>
          </cell>
          <cell r="I482"/>
          <cell r="J482"/>
        </row>
        <row r="483">
          <cell r="D483" t="str">
            <v/>
          </cell>
          <cell r="E483" t="str">
            <v/>
          </cell>
          <cell r="F483" t="str">
            <v/>
          </cell>
          <cell r="I483"/>
          <cell r="J483"/>
        </row>
        <row r="484">
          <cell r="D484" t="str">
            <v/>
          </cell>
          <cell r="E484" t="str">
            <v/>
          </cell>
          <cell r="F484" t="str">
            <v/>
          </cell>
          <cell r="I484"/>
          <cell r="J484"/>
        </row>
        <row r="485">
          <cell r="D485" t="str">
            <v/>
          </cell>
          <cell r="E485" t="str">
            <v/>
          </cell>
          <cell r="F485" t="str">
            <v/>
          </cell>
          <cell r="I485"/>
          <cell r="J485"/>
        </row>
        <row r="486">
          <cell r="D486" t="str">
            <v/>
          </cell>
          <cell r="E486" t="str">
            <v/>
          </cell>
          <cell r="F486" t="str">
            <v/>
          </cell>
          <cell r="I486"/>
          <cell r="J486"/>
        </row>
        <row r="487">
          <cell r="D487" t="str">
            <v/>
          </cell>
          <cell r="E487" t="str">
            <v/>
          </cell>
          <cell r="F487" t="str">
            <v/>
          </cell>
          <cell r="I487"/>
          <cell r="J487"/>
        </row>
        <row r="488">
          <cell r="D488" t="str">
            <v/>
          </cell>
          <cell r="E488" t="str">
            <v/>
          </cell>
          <cell r="F488" t="str">
            <v/>
          </cell>
          <cell r="I488"/>
          <cell r="J488"/>
        </row>
        <row r="489">
          <cell r="D489" t="str">
            <v/>
          </cell>
          <cell r="E489" t="str">
            <v/>
          </cell>
          <cell r="F489" t="str">
            <v/>
          </cell>
          <cell r="I489"/>
          <cell r="J489"/>
        </row>
        <row r="490">
          <cell r="D490" t="str">
            <v/>
          </cell>
          <cell r="E490" t="str">
            <v/>
          </cell>
          <cell r="F490" t="str">
            <v/>
          </cell>
          <cell r="I490"/>
          <cell r="J490"/>
        </row>
        <row r="491">
          <cell r="D491" t="str">
            <v/>
          </cell>
          <cell r="E491" t="str">
            <v/>
          </cell>
          <cell r="F491" t="str">
            <v/>
          </cell>
          <cell r="I491"/>
          <cell r="J491"/>
        </row>
        <row r="492">
          <cell r="D492" t="str">
            <v/>
          </cell>
          <cell r="E492" t="str">
            <v/>
          </cell>
          <cell r="F492" t="str">
            <v/>
          </cell>
          <cell r="I492"/>
          <cell r="J492"/>
        </row>
        <row r="493">
          <cell r="D493" t="str">
            <v/>
          </cell>
          <cell r="E493" t="str">
            <v/>
          </cell>
          <cell r="F493" t="str">
            <v/>
          </cell>
          <cell r="I493"/>
          <cell r="J493"/>
        </row>
        <row r="494">
          <cell r="D494" t="str">
            <v/>
          </cell>
          <cell r="E494" t="str">
            <v/>
          </cell>
          <cell r="F494" t="str">
            <v/>
          </cell>
          <cell r="I494"/>
          <cell r="J494"/>
        </row>
        <row r="495">
          <cell r="D495" t="str">
            <v/>
          </cell>
          <cell r="E495" t="str">
            <v/>
          </cell>
          <cell r="F495" t="str">
            <v/>
          </cell>
          <cell r="I495"/>
          <cell r="J495"/>
        </row>
        <row r="496">
          <cell r="D496" t="str">
            <v/>
          </cell>
          <cell r="E496" t="str">
            <v/>
          </cell>
          <cell r="F496" t="str">
            <v/>
          </cell>
          <cell r="I496"/>
          <cell r="J496"/>
        </row>
        <row r="497">
          <cell r="D497" t="str">
            <v/>
          </cell>
          <cell r="E497" t="str">
            <v/>
          </cell>
          <cell r="F497" t="str">
            <v/>
          </cell>
          <cell r="I497"/>
          <cell r="J497"/>
        </row>
        <row r="498">
          <cell r="D498" t="str">
            <v/>
          </cell>
          <cell r="E498" t="str">
            <v/>
          </cell>
          <cell r="F498" t="str">
            <v/>
          </cell>
          <cell r="I498"/>
          <cell r="J498"/>
        </row>
        <row r="499">
          <cell r="D499" t="str">
            <v/>
          </cell>
          <cell r="E499" t="str">
            <v/>
          </cell>
          <cell r="F499" t="str">
            <v/>
          </cell>
          <cell r="I499"/>
          <cell r="J499"/>
        </row>
        <row r="500">
          <cell r="D500" t="str">
            <v/>
          </cell>
          <cell r="E500" t="str">
            <v/>
          </cell>
          <cell r="F500" t="str">
            <v/>
          </cell>
          <cell r="I500"/>
          <cell r="J500"/>
        </row>
        <row r="501">
          <cell r="D501" t="str">
            <v/>
          </cell>
          <cell r="E501" t="str">
            <v/>
          </cell>
          <cell r="F501" t="str">
            <v/>
          </cell>
          <cell r="I501"/>
          <cell r="J501"/>
        </row>
        <row r="502">
          <cell r="D502" t="str">
            <v/>
          </cell>
          <cell r="E502" t="str">
            <v/>
          </cell>
          <cell r="F502" t="str">
            <v/>
          </cell>
          <cell r="I502"/>
          <cell r="J502"/>
        </row>
        <row r="503">
          <cell r="D503" t="str">
            <v/>
          </cell>
          <cell r="E503" t="str">
            <v/>
          </cell>
          <cell r="F503" t="str">
            <v/>
          </cell>
          <cell r="I503"/>
          <cell r="J503"/>
        </row>
        <row r="504">
          <cell r="D504" t="str">
            <v/>
          </cell>
          <cell r="E504" t="str">
            <v/>
          </cell>
          <cell r="F504" t="str">
            <v/>
          </cell>
          <cell r="I504"/>
          <cell r="J504"/>
        </row>
        <row r="505">
          <cell r="D505" t="str">
            <v/>
          </cell>
          <cell r="E505" t="str">
            <v/>
          </cell>
          <cell r="F505" t="str">
            <v/>
          </cell>
          <cell r="I505"/>
          <cell r="J505"/>
        </row>
        <row r="506">
          <cell r="D506" t="str">
            <v/>
          </cell>
          <cell r="E506" t="str">
            <v/>
          </cell>
          <cell r="F506" t="str">
            <v/>
          </cell>
          <cell r="I506"/>
          <cell r="J506"/>
        </row>
        <row r="507">
          <cell r="D507" t="str">
            <v/>
          </cell>
          <cell r="E507" t="str">
            <v/>
          </cell>
          <cell r="F507" t="str">
            <v/>
          </cell>
          <cell r="I507"/>
          <cell r="J507"/>
        </row>
        <row r="508">
          <cell r="D508" t="str">
            <v/>
          </cell>
          <cell r="E508" t="str">
            <v/>
          </cell>
          <cell r="F508" t="str">
            <v/>
          </cell>
          <cell r="I508"/>
          <cell r="J508"/>
        </row>
        <row r="509">
          <cell r="D509" t="str">
            <v/>
          </cell>
          <cell r="E509" t="str">
            <v/>
          </cell>
          <cell r="F509" t="str">
            <v/>
          </cell>
          <cell r="I509"/>
          <cell r="J509"/>
        </row>
        <row r="510">
          <cell r="D510" t="str">
            <v/>
          </cell>
          <cell r="E510" t="str">
            <v/>
          </cell>
          <cell r="F510" t="str">
            <v/>
          </cell>
          <cell r="I510"/>
          <cell r="J510"/>
        </row>
        <row r="511">
          <cell r="D511" t="str">
            <v/>
          </cell>
          <cell r="E511" t="str">
            <v/>
          </cell>
          <cell r="F511" t="str">
            <v/>
          </cell>
          <cell r="I511"/>
          <cell r="J511"/>
        </row>
        <row r="512">
          <cell r="D512" t="str">
            <v/>
          </cell>
          <cell r="E512" t="str">
            <v/>
          </cell>
          <cell r="F512" t="str">
            <v/>
          </cell>
          <cell r="I512"/>
          <cell r="J512"/>
        </row>
        <row r="513">
          <cell r="D513" t="str">
            <v/>
          </cell>
          <cell r="E513" t="str">
            <v/>
          </cell>
          <cell r="F513" t="str">
            <v/>
          </cell>
          <cell r="I513"/>
          <cell r="J513"/>
        </row>
        <row r="514">
          <cell r="D514" t="str">
            <v/>
          </cell>
          <cell r="E514" t="str">
            <v/>
          </cell>
          <cell r="F514" t="str">
            <v/>
          </cell>
          <cell r="I514"/>
          <cell r="J514"/>
        </row>
        <row r="515">
          <cell r="D515" t="str">
            <v/>
          </cell>
          <cell r="E515" t="str">
            <v/>
          </cell>
          <cell r="F515" t="str">
            <v/>
          </cell>
          <cell r="I515"/>
          <cell r="J515"/>
        </row>
        <row r="516">
          <cell r="D516" t="str">
            <v/>
          </cell>
          <cell r="E516" t="str">
            <v/>
          </cell>
          <cell r="F516" t="str">
            <v/>
          </cell>
          <cell r="I516"/>
          <cell r="J516"/>
        </row>
        <row r="517">
          <cell r="D517" t="str">
            <v/>
          </cell>
          <cell r="E517" t="str">
            <v/>
          </cell>
          <cell r="F517" t="str">
            <v/>
          </cell>
          <cell r="I517"/>
          <cell r="J517"/>
        </row>
        <row r="518">
          <cell r="D518" t="str">
            <v/>
          </cell>
          <cell r="E518" t="str">
            <v/>
          </cell>
          <cell r="F518" t="str">
            <v/>
          </cell>
          <cell r="I518"/>
          <cell r="J518"/>
        </row>
        <row r="519">
          <cell r="D519" t="str">
            <v/>
          </cell>
          <cell r="E519" t="str">
            <v/>
          </cell>
          <cell r="F519" t="str">
            <v/>
          </cell>
          <cell r="I519"/>
          <cell r="J519"/>
        </row>
        <row r="520">
          <cell r="D520" t="str">
            <v/>
          </cell>
          <cell r="E520" t="str">
            <v/>
          </cell>
          <cell r="F520" t="str">
            <v/>
          </cell>
          <cell r="I520"/>
          <cell r="J520"/>
        </row>
        <row r="521">
          <cell r="D521" t="str">
            <v/>
          </cell>
          <cell r="E521" t="str">
            <v/>
          </cell>
          <cell r="F521" t="str">
            <v/>
          </cell>
          <cell r="I521"/>
          <cell r="J521"/>
        </row>
        <row r="522">
          <cell r="D522" t="str">
            <v/>
          </cell>
          <cell r="E522" t="str">
            <v/>
          </cell>
          <cell r="F522" t="str">
            <v/>
          </cell>
          <cell r="I522"/>
          <cell r="J522"/>
        </row>
        <row r="523">
          <cell r="D523" t="str">
            <v/>
          </cell>
          <cell r="E523" t="str">
            <v/>
          </cell>
          <cell r="F523" t="str">
            <v/>
          </cell>
          <cell r="I523"/>
          <cell r="J523"/>
        </row>
        <row r="524">
          <cell r="D524" t="str">
            <v/>
          </cell>
          <cell r="E524" t="str">
            <v/>
          </cell>
          <cell r="F524" t="str">
            <v/>
          </cell>
          <cell r="I524"/>
          <cell r="J524"/>
        </row>
        <row r="525">
          <cell r="D525" t="str">
            <v/>
          </cell>
          <cell r="E525" t="str">
            <v/>
          </cell>
          <cell r="F525" t="str">
            <v/>
          </cell>
          <cell r="I525"/>
          <cell r="J525"/>
        </row>
        <row r="526">
          <cell r="D526" t="str">
            <v/>
          </cell>
          <cell r="E526" t="str">
            <v/>
          </cell>
          <cell r="F526" t="str">
            <v/>
          </cell>
          <cell r="I526"/>
          <cell r="J526"/>
        </row>
        <row r="527">
          <cell r="D527" t="str">
            <v/>
          </cell>
          <cell r="E527" t="str">
            <v/>
          </cell>
          <cell r="F527" t="str">
            <v/>
          </cell>
          <cell r="I527"/>
          <cell r="J527"/>
        </row>
        <row r="528">
          <cell r="D528" t="str">
            <v/>
          </cell>
          <cell r="E528" t="str">
            <v/>
          </cell>
          <cell r="F528" t="str">
            <v/>
          </cell>
          <cell r="I528"/>
          <cell r="J528"/>
        </row>
        <row r="529">
          <cell r="D529" t="str">
            <v/>
          </cell>
          <cell r="E529" t="str">
            <v/>
          </cell>
          <cell r="F529" t="str">
            <v/>
          </cell>
          <cell r="I529"/>
          <cell r="J529"/>
        </row>
        <row r="530">
          <cell r="D530" t="str">
            <v/>
          </cell>
          <cell r="E530" t="str">
            <v/>
          </cell>
          <cell r="F530" t="str">
            <v/>
          </cell>
          <cell r="I530"/>
          <cell r="J530"/>
        </row>
        <row r="531">
          <cell r="D531" t="str">
            <v/>
          </cell>
          <cell r="E531" t="str">
            <v/>
          </cell>
          <cell r="F531" t="str">
            <v/>
          </cell>
          <cell r="I531"/>
          <cell r="J531"/>
        </row>
        <row r="532">
          <cell r="D532" t="str">
            <v/>
          </cell>
          <cell r="E532" t="str">
            <v/>
          </cell>
          <cell r="F532" t="str">
            <v/>
          </cell>
          <cell r="I532"/>
          <cell r="J532"/>
        </row>
        <row r="533">
          <cell r="D533" t="str">
            <v/>
          </cell>
          <cell r="E533" t="str">
            <v/>
          </cell>
          <cell r="F533" t="str">
            <v/>
          </cell>
          <cell r="I533"/>
          <cell r="J533"/>
        </row>
        <row r="534">
          <cell r="D534" t="str">
            <v/>
          </cell>
          <cell r="E534" t="str">
            <v/>
          </cell>
          <cell r="F534" t="str">
            <v/>
          </cell>
          <cell r="I534"/>
          <cell r="J534"/>
        </row>
        <row r="535">
          <cell r="D535" t="str">
            <v/>
          </cell>
          <cell r="E535" t="str">
            <v/>
          </cell>
          <cell r="F535" t="str">
            <v/>
          </cell>
          <cell r="I535"/>
          <cell r="J535"/>
        </row>
        <row r="536">
          <cell r="D536" t="str">
            <v/>
          </cell>
          <cell r="E536" t="str">
            <v/>
          </cell>
          <cell r="F536" t="str">
            <v/>
          </cell>
          <cell r="I536"/>
          <cell r="J536"/>
        </row>
        <row r="537">
          <cell r="D537" t="str">
            <v/>
          </cell>
          <cell r="E537" t="str">
            <v/>
          </cell>
          <cell r="F537" t="str">
            <v/>
          </cell>
          <cell r="I537"/>
          <cell r="J537"/>
        </row>
        <row r="538">
          <cell r="D538" t="str">
            <v/>
          </cell>
          <cell r="E538" t="str">
            <v/>
          </cell>
          <cell r="F538" t="str">
            <v/>
          </cell>
          <cell r="I538"/>
          <cell r="J538"/>
        </row>
        <row r="539">
          <cell r="D539" t="str">
            <v/>
          </cell>
          <cell r="E539" t="str">
            <v/>
          </cell>
          <cell r="F539" t="str">
            <v/>
          </cell>
          <cell r="I539"/>
          <cell r="J539"/>
        </row>
        <row r="540">
          <cell r="D540" t="str">
            <v/>
          </cell>
          <cell r="E540" t="str">
            <v/>
          </cell>
          <cell r="F540" t="str">
            <v/>
          </cell>
          <cell r="I540"/>
          <cell r="J540"/>
        </row>
        <row r="541">
          <cell r="D541" t="str">
            <v/>
          </cell>
          <cell r="E541" t="str">
            <v/>
          </cell>
          <cell r="F541" t="str">
            <v/>
          </cell>
          <cell r="I541"/>
          <cell r="J541"/>
        </row>
        <row r="542">
          <cell r="D542" t="str">
            <v/>
          </cell>
          <cell r="E542" t="str">
            <v/>
          </cell>
          <cell r="F542" t="str">
            <v/>
          </cell>
          <cell r="I542"/>
          <cell r="J542"/>
        </row>
        <row r="543">
          <cell r="D543" t="str">
            <v/>
          </cell>
          <cell r="E543" t="str">
            <v/>
          </cell>
          <cell r="F543" t="str">
            <v/>
          </cell>
          <cell r="I543"/>
          <cell r="J543"/>
        </row>
        <row r="544">
          <cell r="D544" t="str">
            <v/>
          </cell>
          <cell r="E544" t="str">
            <v/>
          </cell>
          <cell r="F544" t="str">
            <v/>
          </cell>
          <cell r="I544"/>
          <cell r="J544"/>
        </row>
        <row r="545">
          <cell r="D545" t="str">
            <v/>
          </cell>
          <cell r="E545" t="str">
            <v/>
          </cell>
          <cell r="F545" t="str">
            <v/>
          </cell>
          <cell r="I545"/>
          <cell r="J545"/>
        </row>
        <row r="546">
          <cell r="D546" t="str">
            <v/>
          </cell>
          <cell r="E546" t="str">
            <v/>
          </cell>
          <cell r="F546" t="str">
            <v/>
          </cell>
          <cell r="I546"/>
          <cell r="J546"/>
        </row>
        <row r="547">
          <cell r="D547" t="str">
            <v/>
          </cell>
          <cell r="E547" t="str">
            <v/>
          </cell>
          <cell r="F547" t="str">
            <v/>
          </cell>
          <cell r="I547"/>
          <cell r="J547"/>
        </row>
        <row r="548">
          <cell r="D548" t="str">
            <v/>
          </cell>
          <cell r="E548" t="str">
            <v/>
          </cell>
          <cell r="F548" t="str">
            <v/>
          </cell>
          <cell r="I548"/>
          <cell r="J548"/>
        </row>
        <row r="549">
          <cell r="D549" t="str">
            <v/>
          </cell>
          <cell r="E549" t="str">
            <v/>
          </cell>
          <cell r="F549" t="str">
            <v/>
          </cell>
          <cell r="I549"/>
          <cell r="J549"/>
        </row>
        <row r="550">
          <cell r="D550" t="str">
            <v/>
          </cell>
          <cell r="E550" t="str">
            <v/>
          </cell>
          <cell r="F550" t="str">
            <v/>
          </cell>
          <cell r="I550"/>
          <cell r="J550"/>
        </row>
        <row r="551">
          <cell r="D551" t="str">
            <v/>
          </cell>
          <cell r="E551" t="str">
            <v/>
          </cell>
          <cell r="F551" t="str">
            <v/>
          </cell>
          <cell r="I551"/>
          <cell r="J551"/>
        </row>
        <row r="552">
          <cell r="D552" t="str">
            <v/>
          </cell>
          <cell r="E552" t="str">
            <v/>
          </cell>
          <cell r="F552" t="str">
            <v/>
          </cell>
          <cell r="I552"/>
          <cell r="J552"/>
        </row>
        <row r="553">
          <cell r="D553" t="str">
            <v/>
          </cell>
          <cell r="E553" t="str">
            <v/>
          </cell>
          <cell r="F553" t="str">
            <v/>
          </cell>
          <cell r="I553"/>
          <cell r="J553"/>
        </row>
        <row r="554">
          <cell r="D554" t="str">
            <v/>
          </cell>
          <cell r="E554" t="str">
            <v/>
          </cell>
          <cell r="F554" t="str">
            <v/>
          </cell>
          <cell r="I554"/>
          <cell r="J554"/>
        </row>
        <row r="555">
          <cell r="D555" t="str">
            <v/>
          </cell>
          <cell r="E555" t="str">
            <v/>
          </cell>
          <cell r="F555" t="str">
            <v/>
          </cell>
          <cell r="I555"/>
          <cell r="J555"/>
        </row>
        <row r="556">
          <cell r="D556" t="str">
            <v/>
          </cell>
          <cell r="E556" t="str">
            <v/>
          </cell>
          <cell r="F556" t="str">
            <v/>
          </cell>
          <cell r="I556"/>
          <cell r="J556"/>
        </row>
        <row r="557">
          <cell r="D557" t="str">
            <v/>
          </cell>
          <cell r="E557" t="str">
            <v/>
          </cell>
          <cell r="F557" t="str">
            <v/>
          </cell>
          <cell r="I557"/>
          <cell r="J557"/>
        </row>
        <row r="558">
          <cell r="D558" t="str">
            <v/>
          </cell>
          <cell r="E558" t="str">
            <v/>
          </cell>
          <cell r="F558" t="str">
            <v/>
          </cell>
          <cell r="I558"/>
          <cell r="J558"/>
        </row>
        <row r="559">
          <cell r="D559" t="str">
            <v/>
          </cell>
          <cell r="E559" t="str">
            <v/>
          </cell>
          <cell r="F559" t="str">
            <v/>
          </cell>
          <cell r="I559"/>
          <cell r="J559"/>
        </row>
        <row r="560">
          <cell r="D560" t="str">
            <v/>
          </cell>
          <cell r="E560" t="str">
            <v/>
          </cell>
          <cell r="F560" t="str">
            <v/>
          </cell>
          <cell r="I560"/>
          <cell r="J560"/>
        </row>
        <row r="561">
          <cell r="D561" t="str">
            <v/>
          </cell>
          <cell r="E561" t="str">
            <v/>
          </cell>
          <cell r="F561" t="str">
            <v/>
          </cell>
          <cell r="I561"/>
          <cell r="J561"/>
        </row>
        <row r="562">
          <cell r="D562" t="str">
            <v/>
          </cell>
          <cell r="E562" t="str">
            <v/>
          </cell>
          <cell r="F562" t="str">
            <v/>
          </cell>
          <cell r="I562"/>
          <cell r="J562"/>
        </row>
        <row r="563">
          <cell r="D563" t="str">
            <v/>
          </cell>
          <cell r="E563" t="str">
            <v/>
          </cell>
          <cell r="F563" t="str">
            <v/>
          </cell>
          <cell r="I563"/>
          <cell r="J563"/>
        </row>
        <row r="564">
          <cell r="D564" t="str">
            <v/>
          </cell>
          <cell r="E564" t="str">
            <v/>
          </cell>
          <cell r="F564" t="str">
            <v/>
          </cell>
          <cell r="I564"/>
          <cell r="J564"/>
        </row>
        <row r="565">
          <cell r="D565" t="str">
            <v/>
          </cell>
          <cell r="E565" t="str">
            <v/>
          </cell>
          <cell r="F565" t="str">
            <v/>
          </cell>
          <cell r="I565"/>
          <cell r="J565"/>
        </row>
        <row r="566">
          <cell r="D566" t="str">
            <v/>
          </cell>
          <cell r="E566" t="str">
            <v/>
          </cell>
          <cell r="F566" t="str">
            <v/>
          </cell>
          <cell r="I566"/>
          <cell r="J566"/>
        </row>
        <row r="567">
          <cell r="D567" t="str">
            <v/>
          </cell>
          <cell r="E567" t="str">
            <v/>
          </cell>
          <cell r="F567" t="str">
            <v/>
          </cell>
          <cell r="I567"/>
          <cell r="J567"/>
        </row>
        <row r="568">
          <cell r="D568" t="str">
            <v/>
          </cell>
          <cell r="E568" t="str">
            <v/>
          </cell>
          <cell r="F568" t="str">
            <v/>
          </cell>
          <cell r="I568"/>
          <cell r="J568"/>
        </row>
        <row r="569">
          <cell r="D569" t="str">
            <v/>
          </cell>
          <cell r="E569" t="str">
            <v/>
          </cell>
          <cell r="F569" t="str">
            <v/>
          </cell>
          <cell r="I569"/>
          <cell r="J569"/>
        </row>
        <row r="570">
          <cell r="D570" t="str">
            <v/>
          </cell>
          <cell r="E570" t="str">
            <v/>
          </cell>
          <cell r="F570" t="str">
            <v/>
          </cell>
          <cell r="I570"/>
          <cell r="J570"/>
        </row>
        <row r="571">
          <cell r="D571" t="str">
            <v/>
          </cell>
          <cell r="E571" t="str">
            <v/>
          </cell>
          <cell r="F571" t="str">
            <v/>
          </cell>
          <cell r="I571"/>
          <cell r="J571"/>
        </row>
        <row r="572">
          <cell r="D572" t="str">
            <v/>
          </cell>
          <cell r="E572" t="str">
            <v/>
          </cell>
          <cell r="F572" t="str">
            <v/>
          </cell>
          <cell r="I572"/>
          <cell r="J572"/>
        </row>
        <row r="573">
          <cell r="D573" t="str">
            <v/>
          </cell>
          <cell r="E573" t="str">
            <v/>
          </cell>
          <cell r="F573" t="str">
            <v/>
          </cell>
          <cell r="I573"/>
          <cell r="J573"/>
        </row>
        <row r="574">
          <cell r="D574" t="str">
            <v/>
          </cell>
          <cell r="E574" t="str">
            <v/>
          </cell>
          <cell r="F574" t="str">
            <v/>
          </cell>
          <cell r="I574"/>
          <cell r="J574"/>
        </row>
        <row r="575">
          <cell r="D575" t="str">
            <v/>
          </cell>
          <cell r="E575" t="str">
            <v/>
          </cell>
          <cell r="F575" t="str">
            <v/>
          </cell>
          <cell r="I575"/>
          <cell r="J575"/>
        </row>
        <row r="576">
          <cell r="D576" t="str">
            <v/>
          </cell>
          <cell r="E576" t="str">
            <v/>
          </cell>
          <cell r="F576" t="str">
            <v/>
          </cell>
          <cell r="I576"/>
          <cell r="J576"/>
        </row>
        <row r="577">
          <cell r="D577" t="str">
            <v/>
          </cell>
          <cell r="E577" t="str">
            <v/>
          </cell>
          <cell r="F577" t="str">
            <v/>
          </cell>
          <cell r="I577"/>
          <cell r="J577"/>
        </row>
        <row r="578">
          <cell r="D578" t="str">
            <v/>
          </cell>
          <cell r="E578" t="str">
            <v/>
          </cell>
          <cell r="F578" t="str">
            <v/>
          </cell>
          <cell r="I578"/>
          <cell r="J578"/>
        </row>
        <row r="579">
          <cell r="D579" t="str">
            <v/>
          </cell>
          <cell r="E579" t="str">
            <v/>
          </cell>
          <cell r="F579" t="str">
            <v/>
          </cell>
          <cell r="I579"/>
          <cell r="J579"/>
        </row>
        <row r="580">
          <cell r="D580" t="str">
            <v/>
          </cell>
          <cell r="E580" t="str">
            <v/>
          </cell>
          <cell r="F580" t="str">
            <v/>
          </cell>
          <cell r="I580"/>
          <cell r="J580"/>
        </row>
        <row r="581">
          <cell r="D581" t="str">
            <v/>
          </cell>
          <cell r="E581" t="str">
            <v/>
          </cell>
          <cell r="F581" t="str">
            <v/>
          </cell>
          <cell r="I581"/>
          <cell r="J581"/>
        </row>
        <row r="582">
          <cell r="D582" t="str">
            <v/>
          </cell>
          <cell r="E582" t="str">
            <v/>
          </cell>
          <cell r="F582" t="str">
            <v/>
          </cell>
          <cell r="I582"/>
          <cell r="J582"/>
        </row>
        <row r="583">
          <cell r="D583" t="str">
            <v/>
          </cell>
          <cell r="E583" t="str">
            <v/>
          </cell>
          <cell r="F583" t="str">
            <v/>
          </cell>
          <cell r="I583"/>
          <cell r="J583"/>
        </row>
        <row r="584">
          <cell r="D584" t="str">
            <v/>
          </cell>
          <cell r="E584" t="str">
            <v/>
          </cell>
          <cell r="F584" t="str">
            <v/>
          </cell>
          <cell r="I584"/>
          <cell r="J584"/>
        </row>
        <row r="585">
          <cell r="D585" t="str">
            <v/>
          </cell>
          <cell r="E585" t="str">
            <v/>
          </cell>
          <cell r="F585" t="str">
            <v/>
          </cell>
          <cell r="I585"/>
          <cell r="J585"/>
        </row>
        <row r="586">
          <cell r="D586" t="str">
            <v/>
          </cell>
          <cell r="E586" t="str">
            <v/>
          </cell>
          <cell r="F586" t="str">
            <v/>
          </cell>
          <cell r="I586"/>
          <cell r="J586"/>
        </row>
        <row r="587">
          <cell r="D587" t="str">
            <v/>
          </cell>
          <cell r="E587" t="str">
            <v/>
          </cell>
          <cell r="F587" t="str">
            <v/>
          </cell>
          <cell r="I587"/>
          <cell r="J587"/>
        </row>
        <row r="588">
          <cell r="D588" t="str">
            <v/>
          </cell>
          <cell r="E588" t="str">
            <v/>
          </cell>
          <cell r="F588" t="str">
            <v/>
          </cell>
          <cell r="I588"/>
          <cell r="J588"/>
        </row>
        <row r="589">
          <cell r="D589" t="str">
            <v/>
          </cell>
          <cell r="E589" t="str">
            <v/>
          </cell>
          <cell r="F589" t="str">
            <v/>
          </cell>
          <cell r="I589"/>
          <cell r="J589"/>
        </row>
        <row r="590">
          <cell r="D590" t="str">
            <v/>
          </cell>
          <cell r="E590" t="str">
            <v/>
          </cell>
          <cell r="F590" t="str">
            <v/>
          </cell>
          <cell r="I590"/>
          <cell r="J590"/>
        </row>
        <row r="591">
          <cell r="D591" t="str">
            <v/>
          </cell>
          <cell r="E591" t="str">
            <v/>
          </cell>
          <cell r="F591" t="str">
            <v/>
          </cell>
          <cell r="I591"/>
          <cell r="J591"/>
        </row>
        <row r="592">
          <cell r="D592" t="str">
            <v/>
          </cell>
          <cell r="E592" t="str">
            <v/>
          </cell>
          <cell r="F592" t="str">
            <v/>
          </cell>
          <cell r="I592"/>
          <cell r="J592"/>
        </row>
        <row r="593">
          <cell r="D593" t="str">
            <v/>
          </cell>
          <cell r="E593" t="str">
            <v/>
          </cell>
          <cell r="F593" t="str">
            <v/>
          </cell>
          <cell r="I593"/>
          <cell r="J593"/>
        </row>
        <row r="594">
          <cell r="D594" t="str">
            <v/>
          </cell>
          <cell r="E594" t="str">
            <v/>
          </cell>
          <cell r="F594" t="str">
            <v/>
          </cell>
          <cell r="I594"/>
          <cell r="J594"/>
        </row>
        <row r="595">
          <cell r="D595" t="str">
            <v/>
          </cell>
          <cell r="E595" t="str">
            <v/>
          </cell>
          <cell r="F595" t="str">
            <v/>
          </cell>
          <cell r="I595"/>
          <cell r="J595"/>
        </row>
        <row r="596">
          <cell r="D596" t="str">
            <v/>
          </cell>
          <cell r="E596" t="str">
            <v/>
          </cell>
          <cell r="F596" t="str">
            <v/>
          </cell>
          <cell r="I596"/>
          <cell r="J596"/>
        </row>
        <row r="597">
          <cell r="D597" t="str">
            <v/>
          </cell>
          <cell r="E597" t="str">
            <v/>
          </cell>
          <cell r="F597" t="str">
            <v/>
          </cell>
          <cell r="I597"/>
          <cell r="J597"/>
        </row>
        <row r="598">
          <cell r="D598" t="str">
            <v/>
          </cell>
          <cell r="E598" t="str">
            <v/>
          </cell>
          <cell r="F598" t="str">
            <v/>
          </cell>
          <cell r="I598"/>
          <cell r="J598"/>
        </row>
        <row r="599">
          <cell r="D599" t="str">
            <v/>
          </cell>
          <cell r="E599" t="str">
            <v/>
          </cell>
          <cell r="F599" t="str">
            <v/>
          </cell>
          <cell r="I599"/>
          <cell r="J599"/>
        </row>
        <row r="600">
          <cell r="D600" t="str">
            <v/>
          </cell>
          <cell r="E600" t="str">
            <v/>
          </cell>
          <cell r="F600" t="str">
            <v/>
          </cell>
          <cell r="I600"/>
          <cell r="J600"/>
        </row>
        <row r="601">
          <cell r="D601" t="str">
            <v/>
          </cell>
          <cell r="E601" t="str">
            <v/>
          </cell>
          <cell r="F601" t="str">
            <v/>
          </cell>
          <cell r="I601"/>
          <cell r="J601"/>
        </row>
        <row r="602">
          <cell r="D602" t="str">
            <v/>
          </cell>
          <cell r="E602" t="str">
            <v/>
          </cell>
          <cell r="F602" t="str">
            <v/>
          </cell>
          <cell r="I602"/>
          <cell r="J602"/>
        </row>
        <row r="603">
          <cell r="D603" t="str">
            <v/>
          </cell>
          <cell r="E603" t="str">
            <v/>
          </cell>
          <cell r="F603" t="str">
            <v/>
          </cell>
          <cell r="I603"/>
          <cell r="J603"/>
        </row>
        <row r="604">
          <cell r="D604" t="str">
            <v/>
          </cell>
          <cell r="E604" t="str">
            <v/>
          </cell>
          <cell r="F604" t="str">
            <v/>
          </cell>
          <cell r="I604"/>
          <cell r="J604"/>
        </row>
        <row r="605">
          <cell r="D605" t="str">
            <v/>
          </cell>
          <cell r="E605" t="str">
            <v/>
          </cell>
          <cell r="F605" t="str">
            <v/>
          </cell>
          <cell r="I605"/>
          <cell r="J605"/>
        </row>
        <row r="606">
          <cell r="D606" t="str">
            <v/>
          </cell>
          <cell r="E606" t="str">
            <v/>
          </cell>
          <cell r="F606" t="str">
            <v/>
          </cell>
          <cell r="I606"/>
          <cell r="J606"/>
        </row>
        <row r="607">
          <cell r="D607" t="str">
            <v/>
          </cell>
          <cell r="E607" t="str">
            <v/>
          </cell>
          <cell r="F607" t="str">
            <v/>
          </cell>
          <cell r="I607"/>
          <cell r="J607"/>
        </row>
        <row r="608">
          <cell r="D608" t="str">
            <v/>
          </cell>
          <cell r="E608" t="str">
            <v/>
          </cell>
          <cell r="F608" t="str">
            <v/>
          </cell>
          <cell r="I608"/>
          <cell r="J608"/>
        </row>
        <row r="609">
          <cell r="D609" t="str">
            <v/>
          </cell>
          <cell r="E609" t="str">
            <v/>
          </cell>
          <cell r="F609" t="str">
            <v/>
          </cell>
          <cell r="I609"/>
          <cell r="J609"/>
        </row>
        <row r="610">
          <cell r="D610" t="str">
            <v/>
          </cell>
          <cell r="E610" t="str">
            <v/>
          </cell>
          <cell r="F610" t="str">
            <v/>
          </cell>
          <cell r="I610"/>
          <cell r="J610"/>
        </row>
        <row r="611">
          <cell r="D611" t="str">
            <v/>
          </cell>
          <cell r="E611" t="str">
            <v/>
          </cell>
          <cell r="F611" t="str">
            <v/>
          </cell>
          <cell r="I611"/>
          <cell r="J611"/>
        </row>
        <row r="612">
          <cell r="D612" t="str">
            <v/>
          </cell>
          <cell r="E612" t="str">
            <v/>
          </cell>
          <cell r="F612" t="str">
            <v/>
          </cell>
          <cell r="I612"/>
          <cell r="J612"/>
        </row>
        <row r="613">
          <cell r="D613" t="str">
            <v/>
          </cell>
          <cell r="E613" t="str">
            <v/>
          </cell>
          <cell r="F613" t="str">
            <v/>
          </cell>
          <cell r="I613"/>
          <cell r="J613"/>
        </row>
        <row r="614">
          <cell r="D614" t="str">
            <v/>
          </cell>
          <cell r="E614" t="str">
            <v/>
          </cell>
          <cell r="F614" t="str">
            <v/>
          </cell>
          <cell r="I614"/>
          <cell r="J614"/>
        </row>
        <row r="615">
          <cell r="D615" t="str">
            <v/>
          </cell>
          <cell r="E615" t="str">
            <v/>
          </cell>
          <cell r="F615" t="str">
            <v/>
          </cell>
          <cell r="I615"/>
          <cell r="J615"/>
        </row>
        <row r="616">
          <cell r="D616" t="str">
            <v/>
          </cell>
          <cell r="E616" t="str">
            <v/>
          </cell>
          <cell r="F616" t="str">
            <v/>
          </cell>
          <cell r="I616"/>
          <cell r="J616"/>
        </row>
        <row r="617">
          <cell r="D617" t="str">
            <v/>
          </cell>
          <cell r="E617" t="str">
            <v/>
          </cell>
          <cell r="F617" t="str">
            <v/>
          </cell>
          <cell r="I617"/>
          <cell r="J617"/>
        </row>
        <row r="618">
          <cell r="D618" t="str">
            <v/>
          </cell>
          <cell r="E618" t="str">
            <v/>
          </cell>
          <cell r="F618" t="str">
            <v/>
          </cell>
          <cell r="I618"/>
          <cell r="J618"/>
        </row>
        <row r="619">
          <cell r="D619" t="str">
            <v/>
          </cell>
          <cell r="E619" t="str">
            <v/>
          </cell>
          <cell r="F619" t="str">
            <v/>
          </cell>
          <cell r="I619"/>
          <cell r="J619"/>
        </row>
        <row r="620">
          <cell r="D620" t="str">
            <v/>
          </cell>
          <cell r="E620" t="str">
            <v/>
          </cell>
          <cell r="F620" t="str">
            <v/>
          </cell>
          <cell r="I620"/>
          <cell r="J620"/>
        </row>
        <row r="621">
          <cell r="D621" t="str">
            <v/>
          </cell>
          <cell r="E621" t="str">
            <v/>
          </cell>
          <cell r="F621" t="str">
            <v/>
          </cell>
          <cell r="I621"/>
          <cell r="J621"/>
        </row>
        <row r="622">
          <cell r="D622" t="str">
            <v/>
          </cell>
          <cell r="E622" t="str">
            <v/>
          </cell>
          <cell r="F622" t="str">
            <v/>
          </cell>
          <cell r="I622"/>
          <cell r="J622"/>
        </row>
        <row r="623">
          <cell r="D623" t="str">
            <v/>
          </cell>
          <cell r="E623" t="str">
            <v/>
          </cell>
          <cell r="F623" t="str">
            <v/>
          </cell>
          <cell r="I623"/>
          <cell r="J623"/>
        </row>
        <row r="624">
          <cell r="D624" t="str">
            <v/>
          </cell>
          <cell r="E624" t="str">
            <v/>
          </cell>
          <cell r="F624" t="str">
            <v/>
          </cell>
          <cell r="I624"/>
          <cell r="J624"/>
        </row>
        <row r="625">
          <cell r="D625" t="str">
            <v/>
          </cell>
          <cell r="E625" t="str">
            <v/>
          </cell>
          <cell r="F625" t="str">
            <v/>
          </cell>
          <cell r="I625"/>
          <cell r="J625"/>
        </row>
        <row r="626">
          <cell r="D626" t="str">
            <v/>
          </cell>
          <cell r="E626" t="str">
            <v/>
          </cell>
          <cell r="F626" t="str">
            <v/>
          </cell>
          <cell r="I626"/>
          <cell r="J626"/>
        </row>
        <row r="627">
          <cell r="D627" t="str">
            <v/>
          </cell>
          <cell r="E627" t="str">
            <v/>
          </cell>
          <cell r="F627" t="str">
            <v/>
          </cell>
          <cell r="I627"/>
          <cell r="J627"/>
        </row>
        <row r="628">
          <cell r="D628" t="str">
            <v/>
          </cell>
          <cell r="E628" t="str">
            <v/>
          </cell>
          <cell r="F628" t="str">
            <v/>
          </cell>
          <cell r="I628"/>
          <cell r="J628"/>
        </row>
        <row r="629">
          <cell r="D629" t="str">
            <v/>
          </cell>
          <cell r="E629" t="str">
            <v/>
          </cell>
          <cell r="F629" t="str">
            <v/>
          </cell>
          <cell r="I629"/>
          <cell r="J629"/>
        </row>
        <row r="630">
          <cell r="D630" t="str">
            <v/>
          </cell>
          <cell r="E630" t="str">
            <v/>
          </cell>
          <cell r="F630" t="str">
            <v/>
          </cell>
          <cell r="I630"/>
          <cell r="J630"/>
        </row>
        <row r="631">
          <cell r="D631" t="str">
            <v/>
          </cell>
          <cell r="E631" t="str">
            <v/>
          </cell>
          <cell r="F631" t="str">
            <v/>
          </cell>
          <cell r="I631"/>
          <cell r="J631"/>
        </row>
        <row r="632">
          <cell r="D632" t="str">
            <v/>
          </cell>
          <cell r="E632" t="str">
            <v/>
          </cell>
          <cell r="F632" t="str">
            <v/>
          </cell>
          <cell r="I632"/>
          <cell r="J632"/>
        </row>
        <row r="633">
          <cell r="D633" t="str">
            <v/>
          </cell>
          <cell r="E633" t="str">
            <v/>
          </cell>
          <cell r="F633" t="str">
            <v/>
          </cell>
          <cell r="I633"/>
          <cell r="J633"/>
        </row>
        <row r="634">
          <cell r="D634" t="str">
            <v/>
          </cell>
          <cell r="E634" t="str">
            <v/>
          </cell>
          <cell r="F634" t="str">
            <v/>
          </cell>
          <cell r="I634"/>
          <cell r="J634"/>
        </row>
        <row r="635">
          <cell r="D635" t="str">
            <v/>
          </cell>
          <cell r="E635" t="str">
            <v/>
          </cell>
          <cell r="F635" t="str">
            <v/>
          </cell>
          <cell r="I635"/>
          <cell r="J635"/>
        </row>
        <row r="636">
          <cell r="D636" t="str">
            <v/>
          </cell>
          <cell r="E636" t="str">
            <v/>
          </cell>
          <cell r="F636" t="str">
            <v/>
          </cell>
          <cell r="I636"/>
          <cell r="J636"/>
        </row>
        <row r="637">
          <cell r="D637" t="str">
            <v/>
          </cell>
          <cell r="E637" t="str">
            <v/>
          </cell>
          <cell r="F637" t="str">
            <v/>
          </cell>
          <cell r="I637"/>
          <cell r="J637"/>
        </row>
        <row r="638">
          <cell r="D638" t="str">
            <v/>
          </cell>
          <cell r="E638" t="str">
            <v/>
          </cell>
          <cell r="F638" t="str">
            <v/>
          </cell>
          <cell r="I638"/>
          <cell r="J638"/>
        </row>
        <row r="639">
          <cell r="D639" t="str">
            <v/>
          </cell>
          <cell r="E639" t="str">
            <v/>
          </cell>
          <cell r="F639" t="str">
            <v/>
          </cell>
          <cell r="I639"/>
          <cell r="J639"/>
        </row>
        <row r="640">
          <cell r="D640" t="str">
            <v/>
          </cell>
          <cell r="E640" t="str">
            <v/>
          </cell>
          <cell r="F640" t="str">
            <v/>
          </cell>
          <cell r="I640"/>
          <cell r="J640"/>
        </row>
        <row r="641">
          <cell r="D641" t="str">
            <v/>
          </cell>
          <cell r="E641" t="str">
            <v/>
          </cell>
          <cell r="F641" t="str">
            <v/>
          </cell>
          <cell r="I641"/>
          <cell r="J641"/>
        </row>
        <row r="642">
          <cell r="D642" t="str">
            <v/>
          </cell>
          <cell r="E642" t="str">
            <v/>
          </cell>
          <cell r="F642" t="str">
            <v/>
          </cell>
          <cell r="I642"/>
          <cell r="J642"/>
        </row>
        <row r="643">
          <cell r="D643" t="str">
            <v/>
          </cell>
          <cell r="E643" t="str">
            <v/>
          </cell>
          <cell r="F643" t="str">
            <v/>
          </cell>
          <cell r="I643"/>
          <cell r="J643"/>
        </row>
        <row r="644">
          <cell r="D644" t="str">
            <v/>
          </cell>
          <cell r="E644" t="str">
            <v/>
          </cell>
          <cell r="F644" t="str">
            <v/>
          </cell>
          <cell r="I644"/>
          <cell r="J644"/>
        </row>
        <row r="645">
          <cell r="D645" t="str">
            <v/>
          </cell>
          <cell r="E645" t="str">
            <v/>
          </cell>
          <cell r="F645" t="str">
            <v/>
          </cell>
          <cell r="I645"/>
          <cell r="J645"/>
        </row>
        <row r="646">
          <cell r="D646" t="str">
            <v/>
          </cell>
          <cell r="E646" t="str">
            <v/>
          </cell>
          <cell r="F646" t="str">
            <v/>
          </cell>
          <cell r="I646"/>
          <cell r="J646"/>
        </row>
        <row r="647">
          <cell r="D647" t="str">
            <v/>
          </cell>
          <cell r="E647" t="str">
            <v/>
          </cell>
          <cell r="F647" t="str">
            <v/>
          </cell>
          <cell r="I647"/>
          <cell r="J647"/>
        </row>
        <row r="648">
          <cell r="D648" t="str">
            <v/>
          </cell>
          <cell r="E648" t="str">
            <v/>
          </cell>
          <cell r="F648" t="str">
            <v/>
          </cell>
          <cell r="I648"/>
          <cell r="J648"/>
        </row>
        <row r="649">
          <cell r="D649" t="str">
            <v/>
          </cell>
          <cell r="E649" t="str">
            <v/>
          </cell>
          <cell r="F649" t="str">
            <v/>
          </cell>
          <cell r="I649"/>
          <cell r="J649"/>
        </row>
        <row r="650">
          <cell r="D650" t="str">
            <v/>
          </cell>
          <cell r="E650" t="str">
            <v/>
          </cell>
          <cell r="F650" t="str">
            <v/>
          </cell>
          <cell r="I650"/>
          <cell r="J650"/>
        </row>
        <row r="651">
          <cell r="D651" t="str">
            <v/>
          </cell>
          <cell r="E651" t="str">
            <v/>
          </cell>
          <cell r="F651" t="str">
            <v/>
          </cell>
          <cell r="I651"/>
          <cell r="J651"/>
        </row>
        <row r="652">
          <cell r="D652" t="str">
            <v/>
          </cell>
          <cell r="E652" t="str">
            <v/>
          </cell>
          <cell r="F652" t="str">
            <v/>
          </cell>
          <cell r="I652"/>
          <cell r="J652"/>
        </row>
        <row r="653">
          <cell r="D653" t="str">
            <v/>
          </cell>
          <cell r="E653" t="str">
            <v/>
          </cell>
          <cell r="F653" t="str">
            <v/>
          </cell>
          <cell r="I653"/>
          <cell r="J653"/>
        </row>
        <row r="654">
          <cell r="D654" t="str">
            <v/>
          </cell>
          <cell r="E654" t="str">
            <v/>
          </cell>
          <cell r="F654" t="str">
            <v/>
          </cell>
          <cell r="I654"/>
          <cell r="J654"/>
        </row>
        <row r="655">
          <cell r="D655" t="str">
            <v/>
          </cell>
          <cell r="E655" t="str">
            <v/>
          </cell>
          <cell r="F655" t="str">
            <v/>
          </cell>
          <cell r="I655"/>
          <cell r="J655"/>
        </row>
        <row r="656">
          <cell r="D656" t="str">
            <v/>
          </cell>
          <cell r="E656" t="str">
            <v/>
          </cell>
          <cell r="F656" t="str">
            <v/>
          </cell>
          <cell r="I656"/>
          <cell r="J656"/>
        </row>
        <row r="657">
          <cell r="D657" t="str">
            <v/>
          </cell>
          <cell r="E657" t="str">
            <v/>
          </cell>
          <cell r="F657" t="str">
            <v/>
          </cell>
          <cell r="I657"/>
          <cell r="J657"/>
        </row>
        <row r="658">
          <cell r="D658" t="str">
            <v/>
          </cell>
          <cell r="E658" t="str">
            <v/>
          </cell>
          <cell r="F658" t="str">
            <v/>
          </cell>
          <cell r="I658"/>
          <cell r="J658"/>
        </row>
        <row r="659">
          <cell r="D659" t="str">
            <v/>
          </cell>
          <cell r="E659" t="str">
            <v/>
          </cell>
          <cell r="F659" t="str">
            <v/>
          </cell>
          <cell r="I659"/>
          <cell r="J659"/>
        </row>
        <row r="660">
          <cell r="D660" t="str">
            <v/>
          </cell>
          <cell r="E660" t="str">
            <v/>
          </cell>
          <cell r="F660" t="str">
            <v/>
          </cell>
          <cell r="I660"/>
          <cell r="J660"/>
        </row>
        <row r="661">
          <cell r="D661" t="str">
            <v/>
          </cell>
          <cell r="E661" t="str">
            <v/>
          </cell>
          <cell r="F661" t="str">
            <v/>
          </cell>
          <cell r="I661"/>
          <cell r="J661"/>
        </row>
        <row r="662">
          <cell r="D662" t="str">
            <v/>
          </cell>
          <cell r="E662" t="str">
            <v/>
          </cell>
          <cell r="F662" t="str">
            <v/>
          </cell>
          <cell r="I662"/>
          <cell r="J662"/>
        </row>
        <row r="663">
          <cell r="D663" t="str">
            <v/>
          </cell>
          <cell r="E663" t="str">
            <v/>
          </cell>
          <cell r="F663" t="str">
            <v/>
          </cell>
          <cell r="I663"/>
          <cell r="J663"/>
        </row>
        <row r="664">
          <cell r="D664" t="str">
            <v/>
          </cell>
          <cell r="E664" t="str">
            <v/>
          </cell>
          <cell r="F664" t="str">
            <v/>
          </cell>
          <cell r="I664"/>
          <cell r="J664"/>
        </row>
        <row r="665">
          <cell r="D665" t="str">
            <v/>
          </cell>
          <cell r="E665" t="str">
            <v/>
          </cell>
          <cell r="F665" t="str">
            <v/>
          </cell>
          <cell r="I665"/>
          <cell r="J665"/>
        </row>
        <row r="666">
          <cell r="D666" t="str">
            <v/>
          </cell>
          <cell r="E666" t="str">
            <v/>
          </cell>
          <cell r="F666" t="str">
            <v/>
          </cell>
          <cell r="I666"/>
          <cell r="J666"/>
        </row>
        <row r="667">
          <cell r="D667" t="str">
            <v/>
          </cell>
          <cell r="E667" t="str">
            <v/>
          </cell>
          <cell r="F667" t="str">
            <v/>
          </cell>
          <cell r="I667"/>
          <cell r="J667"/>
        </row>
        <row r="668">
          <cell r="D668" t="str">
            <v/>
          </cell>
          <cell r="E668" t="str">
            <v/>
          </cell>
          <cell r="F668" t="str">
            <v/>
          </cell>
          <cell r="I668"/>
          <cell r="J668"/>
        </row>
        <row r="669">
          <cell r="D669" t="str">
            <v/>
          </cell>
          <cell r="E669" t="str">
            <v/>
          </cell>
          <cell r="F669" t="str">
            <v/>
          </cell>
          <cell r="I669"/>
          <cell r="J669"/>
        </row>
        <row r="670">
          <cell r="D670" t="str">
            <v/>
          </cell>
          <cell r="E670" t="str">
            <v/>
          </cell>
          <cell r="F670" t="str">
            <v/>
          </cell>
          <cell r="I670"/>
          <cell r="J670"/>
        </row>
        <row r="671">
          <cell r="D671" t="str">
            <v/>
          </cell>
          <cell r="E671" t="str">
            <v/>
          </cell>
          <cell r="F671" t="str">
            <v/>
          </cell>
          <cell r="I671"/>
          <cell r="J671"/>
        </row>
        <row r="672">
          <cell r="D672" t="str">
            <v/>
          </cell>
          <cell r="E672" t="str">
            <v/>
          </cell>
          <cell r="F672" t="str">
            <v/>
          </cell>
          <cell r="I672"/>
          <cell r="J672"/>
        </row>
        <row r="673">
          <cell r="D673" t="str">
            <v/>
          </cell>
          <cell r="E673" t="str">
            <v/>
          </cell>
          <cell r="F673" t="str">
            <v/>
          </cell>
          <cell r="I673"/>
          <cell r="J673"/>
        </row>
        <row r="674">
          <cell r="D674" t="str">
            <v/>
          </cell>
          <cell r="E674" t="str">
            <v/>
          </cell>
          <cell r="F674" t="str">
            <v/>
          </cell>
          <cell r="I674"/>
          <cell r="J674"/>
        </row>
        <row r="675">
          <cell r="D675" t="str">
            <v/>
          </cell>
          <cell r="E675" t="str">
            <v/>
          </cell>
          <cell r="F675" t="str">
            <v/>
          </cell>
          <cell r="I675"/>
          <cell r="J675"/>
        </row>
        <row r="676">
          <cell r="D676" t="str">
            <v/>
          </cell>
          <cell r="E676" t="str">
            <v/>
          </cell>
          <cell r="F676" t="str">
            <v/>
          </cell>
          <cell r="I676"/>
          <cell r="J676"/>
        </row>
        <row r="677">
          <cell r="D677" t="str">
            <v/>
          </cell>
          <cell r="E677" t="str">
            <v/>
          </cell>
          <cell r="F677" t="str">
            <v/>
          </cell>
          <cell r="I677"/>
          <cell r="J677"/>
        </row>
        <row r="678">
          <cell r="D678" t="str">
            <v/>
          </cell>
          <cell r="E678" t="str">
            <v/>
          </cell>
          <cell r="F678" t="str">
            <v/>
          </cell>
          <cell r="I678"/>
          <cell r="J678"/>
        </row>
        <row r="679">
          <cell r="D679" t="str">
            <v/>
          </cell>
          <cell r="E679" t="str">
            <v/>
          </cell>
          <cell r="F679" t="str">
            <v/>
          </cell>
          <cell r="I679"/>
          <cell r="J679"/>
        </row>
        <row r="680">
          <cell r="D680" t="str">
            <v/>
          </cell>
          <cell r="E680" t="str">
            <v/>
          </cell>
          <cell r="F680" t="str">
            <v/>
          </cell>
          <cell r="I680"/>
          <cell r="J680"/>
        </row>
        <row r="681">
          <cell r="D681" t="str">
            <v/>
          </cell>
          <cell r="E681" t="str">
            <v/>
          </cell>
          <cell r="F681" t="str">
            <v/>
          </cell>
          <cell r="I681"/>
          <cell r="J681"/>
        </row>
        <row r="682">
          <cell r="D682" t="str">
            <v/>
          </cell>
          <cell r="E682" t="str">
            <v/>
          </cell>
          <cell r="F682" t="str">
            <v/>
          </cell>
          <cell r="I682"/>
          <cell r="J682"/>
        </row>
        <row r="683">
          <cell r="D683" t="str">
            <v/>
          </cell>
          <cell r="E683" t="str">
            <v/>
          </cell>
          <cell r="F683" t="str">
            <v/>
          </cell>
          <cell r="I683"/>
          <cell r="J683"/>
        </row>
        <row r="684">
          <cell r="D684" t="str">
            <v/>
          </cell>
          <cell r="E684" t="str">
            <v/>
          </cell>
          <cell r="F684" t="str">
            <v/>
          </cell>
          <cell r="I684"/>
          <cell r="J684"/>
        </row>
        <row r="685">
          <cell r="D685" t="str">
            <v/>
          </cell>
          <cell r="E685" t="str">
            <v/>
          </cell>
          <cell r="F685" t="str">
            <v/>
          </cell>
          <cell r="I685"/>
          <cell r="J685"/>
        </row>
        <row r="686">
          <cell r="D686" t="str">
            <v/>
          </cell>
          <cell r="E686" t="str">
            <v/>
          </cell>
          <cell r="F686" t="str">
            <v/>
          </cell>
          <cell r="I686"/>
          <cell r="J686"/>
        </row>
        <row r="687">
          <cell r="D687" t="str">
            <v/>
          </cell>
          <cell r="E687" t="str">
            <v/>
          </cell>
          <cell r="F687" t="str">
            <v/>
          </cell>
          <cell r="I687"/>
          <cell r="J687"/>
        </row>
        <row r="688">
          <cell r="D688" t="str">
            <v/>
          </cell>
          <cell r="E688" t="str">
            <v/>
          </cell>
          <cell r="F688" t="str">
            <v/>
          </cell>
          <cell r="I688"/>
          <cell r="J688"/>
        </row>
        <row r="689">
          <cell r="D689" t="str">
            <v/>
          </cell>
          <cell r="E689" t="str">
            <v/>
          </cell>
          <cell r="F689" t="str">
            <v/>
          </cell>
          <cell r="I689"/>
          <cell r="J689"/>
        </row>
        <row r="690">
          <cell r="D690" t="str">
            <v/>
          </cell>
          <cell r="E690" t="str">
            <v/>
          </cell>
          <cell r="F690" t="str">
            <v/>
          </cell>
          <cell r="I690"/>
          <cell r="J690"/>
        </row>
        <row r="691">
          <cell r="D691" t="str">
            <v/>
          </cell>
          <cell r="E691" t="str">
            <v/>
          </cell>
          <cell r="F691" t="str">
            <v/>
          </cell>
          <cell r="I691"/>
          <cell r="J691"/>
        </row>
        <row r="692">
          <cell r="D692" t="str">
            <v/>
          </cell>
          <cell r="E692" t="str">
            <v/>
          </cell>
          <cell r="F692" t="str">
            <v/>
          </cell>
          <cell r="I692"/>
          <cell r="J692"/>
        </row>
        <row r="693">
          <cell r="D693" t="str">
            <v/>
          </cell>
          <cell r="E693" t="str">
            <v/>
          </cell>
          <cell r="F693" t="str">
            <v/>
          </cell>
          <cell r="I693"/>
          <cell r="J693"/>
        </row>
        <row r="694">
          <cell r="D694" t="str">
            <v/>
          </cell>
          <cell r="E694" t="str">
            <v/>
          </cell>
          <cell r="F694" t="str">
            <v/>
          </cell>
          <cell r="I694"/>
          <cell r="J694"/>
        </row>
        <row r="695">
          <cell r="D695" t="str">
            <v/>
          </cell>
          <cell r="E695" t="str">
            <v/>
          </cell>
          <cell r="F695" t="str">
            <v/>
          </cell>
          <cell r="I695"/>
          <cell r="J695"/>
        </row>
        <row r="696">
          <cell r="D696" t="str">
            <v/>
          </cell>
          <cell r="E696" t="str">
            <v/>
          </cell>
          <cell r="F696" t="str">
            <v/>
          </cell>
          <cell r="I696"/>
          <cell r="J696"/>
        </row>
        <row r="697">
          <cell r="D697" t="str">
            <v/>
          </cell>
          <cell r="E697" t="str">
            <v/>
          </cell>
          <cell r="F697" t="str">
            <v/>
          </cell>
          <cell r="I697"/>
          <cell r="J697"/>
        </row>
        <row r="698">
          <cell r="D698" t="str">
            <v/>
          </cell>
          <cell r="E698" t="str">
            <v/>
          </cell>
          <cell r="F698" t="str">
            <v/>
          </cell>
          <cell r="I698"/>
          <cell r="J698"/>
        </row>
        <row r="699">
          <cell r="D699" t="str">
            <v/>
          </cell>
          <cell r="E699" t="str">
            <v/>
          </cell>
          <cell r="F699" t="str">
            <v/>
          </cell>
          <cell r="I699"/>
          <cell r="J699"/>
        </row>
        <row r="700">
          <cell r="D700" t="str">
            <v/>
          </cell>
          <cell r="E700" t="str">
            <v/>
          </cell>
          <cell r="F700" t="str">
            <v/>
          </cell>
          <cell r="I700"/>
          <cell r="J700"/>
        </row>
        <row r="701">
          <cell r="D701" t="str">
            <v/>
          </cell>
          <cell r="E701" t="str">
            <v/>
          </cell>
          <cell r="F701" t="str">
            <v/>
          </cell>
          <cell r="I701"/>
          <cell r="J701"/>
        </row>
        <row r="702">
          <cell r="D702" t="str">
            <v/>
          </cell>
          <cell r="E702" t="str">
            <v/>
          </cell>
          <cell r="F702" t="str">
            <v/>
          </cell>
          <cell r="I702"/>
          <cell r="J702"/>
        </row>
        <row r="703">
          <cell r="D703" t="str">
            <v/>
          </cell>
          <cell r="E703" t="str">
            <v/>
          </cell>
          <cell r="F703" t="str">
            <v/>
          </cell>
          <cell r="I703"/>
          <cell r="J703"/>
        </row>
        <row r="704">
          <cell r="D704" t="str">
            <v/>
          </cell>
          <cell r="E704" t="str">
            <v/>
          </cell>
          <cell r="F704" t="str">
            <v/>
          </cell>
          <cell r="I704"/>
          <cell r="J704"/>
        </row>
        <row r="705">
          <cell r="D705" t="str">
            <v/>
          </cell>
          <cell r="E705" t="str">
            <v/>
          </cell>
          <cell r="F705" t="str">
            <v/>
          </cell>
          <cell r="I705"/>
          <cell r="J705"/>
        </row>
        <row r="706">
          <cell r="D706" t="str">
            <v/>
          </cell>
          <cell r="E706" t="str">
            <v/>
          </cell>
          <cell r="F706" t="str">
            <v/>
          </cell>
          <cell r="I706"/>
          <cell r="J706"/>
        </row>
        <row r="707">
          <cell r="D707" t="str">
            <v/>
          </cell>
          <cell r="E707" t="str">
            <v/>
          </cell>
          <cell r="F707" t="str">
            <v/>
          </cell>
          <cell r="I707"/>
          <cell r="J707"/>
        </row>
        <row r="708">
          <cell r="D708" t="str">
            <v/>
          </cell>
          <cell r="E708" t="str">
            <v/>
          </cell>
          <cell r="F708" t="str">
            <v/>
          </cell>
          <cell r="I708"/>
          <cell r="J708"/>
        </row>
        <row r="709">
          <cell r="D709" t="str">
            <v/>
          </cell>
          <cell r="E709" t="str">
            <v/>
          </cell>
          <cell r="F709" t="str">
            <v/>
          </cell>
          <cell r="I709"/>
          <cell r="J709"/>
        </row>
        <row r="710">
          <cell r="D710" t="str">
            <v/>
          </cell>
          <cell r="E710" t="str">
            <v/>
          </cell>
          <cell r="F710" t="str">
            <v/>
          </cell>
          <cell r="I710"/>
          <cell r="J710"/>
        </row>
        <row r="711">
          <cell r="D711" t="str">
            <v/>
          </cell>
          <cell r="E711" t="str">
            <v/>
          </cell>
          <cell r="F711" t="str">
            <v/>
          </cell>
          <cell r="I711"/>
          <cell r="J711"/>
        </row>
        <row r="712">
          <cell r="D712" t="str">
            <v/>
          </cell>
          <cell r="E712" t="str">
            <v/>
          </cell>
          <cell r="F712" t="str">
            <v/>
          </cell>
          <cell r="I712"/>
          <cell r="J712"/>
        </row>
        <row r="713">
          <cell r="D713" t="str">
            <v/>
          </cell>
          <cell r="E713" t="str">
            <v/>
          </cell>
          <cell r="F713" t="str">
            <v/>
          </cell>
          <cell r="I713"/>
          <cell r="J713"/>
        </row>
        <row r="714">
          <cell r="D714" t="str">
            <v/>
          </cell>
          <cell r="E714" t="str">
            <v/>
          </cell>
          <cell r="F714" t="str">
            <v/>
          </cell>
          <cell r="I714"/>
          <cell r="J714"/>
        </row>
        <row r="715">
          <cell r="D715" t="str">
            <v/>
          </cell>
          <cell r="E715" t="str">
            <v/>
          </cell>
          <cell r="F715" t="str">
            <v/>
          </cell>
          <cell r="I715"/>
          <cell r="J715"/>
        </row>
        <row r="716">
          <cell r="D716" t="str">
            <v/>
          </cell>
          <cell r="E716" t="str">
            <v/>
          </cell>
          <cell r="F716" t="str">
            <v/>
          </cell>
          <cell r="I716"/>
          <cell r="J716"/>
        </row>
        <row r="717">
          <cell r="D717" t="str">
            <v/>
          </cell>
          <cell r="E717" t="str">
            <v/>
          </cell>
          <cell r="F717" t="str">
            <v/>
          </cell>
          <cell r="I717"/>
          <cell r="J717"/>
        </row>
        <row r="718">
          <cell r="D718" t="str">
            <v/>
          </cell>
          <cell r="E718" t="str">
            <v/>
          </cell>
          <cell r="F718" t="str">
            <v/>
          </cell>
          <cell r="I718"/>
          <cell r="J718"/>
        </row>
        <row r="719">
          <cell r="D719" t="str">
            <v/>
          </cell>
          <cell r="E719" t="str">
            <v/>
          </cell>
          <cell r="F719" t="str">
            <v/>
          </cell>
          <cell r="I719"/>
          <cell r="J719"/>
        </row>
        <row r="720">
          <cell r="D720" t="str">
            <v/>
          </cell>
          <cell r="E720" t="str">
            <v/>
          </cell>
          <cell r="F720" t="str">
            <v/>
          </cell>
          <cell r="I720"/>
          <cell r="J720"/>
        </row>
        <row r="721">
          <cell r="D721" t="str">
            <v/>
          </cell>
          <cell r="E721" t="str">
            <v/>
          </cell>
          <cell r="F721" t="str">
            <v/>
          </cell>
          <cell r="I721"/>
          <cell r="J721"/>
        </row>
        <row r="722">
          <cell r="D722" t="str">
            <v/>
          </cell>
          <cell r="E722" t="str">
            <v/>
          </cell>
          <cell r="F722" t="str">
            <v/>
          </cell>
          <cell r="I722"/>
          <cell r="J722"/>
        </row>
        <row r="723">
          <cell r="D723" t="str">
            <v/>
          </cell>
          <cell r="E723" t="str">
            <v/>
          </cell>
          <cell r="F723" t="str">
            <v/>
          </cell>
          <cell r="I723"/>
          <cell r="J723"/>
        </row>
        <row r="724">
          <cell r="D724" t="str">
            <v/>
          </cell>
          <cell r="E724" t="str">
            <v/>
          </cell>
          <cell r="F724" t="str">
            <v/>
          </cell>
          <cell r="I724"/>
          <cell r="J724"/>
        </row>
        <row r="725">
          <cell r="D725" t="str">
            <v/>
          </cell>
          <cell r="E725" t="str">
            <v/>
          </cell>
          <cell r="F725" t="str">
            <v/>
          </cell>
          <cell r="I725"/>
          <cell r="J725"/>
        </row>
        <row r="726">
          <cell r="D726" t="str">
            <v/>
          </cell>
          <cell r="E726" t="str">
            <v/>
          </cell>
          <cell r="F726" t="str">
            <v/>
          </cell>
          <cell r="I726"/>
          <cell r="J726"/>
        </row>
        <row r="727">
          <cell r="D727" t="str">
            <v/>
          </cell>
          <cell r="E727" t="str">
            <v/>
          </cell>
          <cell r="F727" t="str">
            <v/>
          </cell>
          <cell r="I727"/>
          <cell r="J727"/>
        </row>
        <row r="728">
          <cell r="D728" t="str">
            <v/>
          </cell>
          <cell r="E728" t="str">
            <v/>
          </cell>
          <cell r="F728" t="str">
            <v/>
          </cell>
          <cell r="I728"/>
          <cell r="J728"/>
        </row>
        <row r="729">
          <cell r="D729" t="str">
            <v/>
          </cell>
          <cell r="E729" t="str">
            <v/>
          </cell>
          <cell r="F729" t="str">
            <v/>
          </cell>
          <cell r="I729"/>
          <cell r="J729"/>
        </row>
        <row r="730">
          <cell r="D730" t="str">
            <v/>
          </cell>
          <cell r="E730" t="str">
            <v/>
          </cell>
          <cell r="F730" t="str">
            <v/>
          </cell>
          <cell r="I730"/>
          <cell r="J730"/>
        </row>
        <row r="731">
          <cell r="D731" t="str">
            <v/>
          </cell>
          <cell r="E731" t="str">
            <v/>
          </cell>
          <cell r="F731" t="str">
            <v/>
          </cell>
          <cell r="I731"/>
          <cell r="J731"/>
        </row>
        <row r="732">
          <cell r="D732" t="str">
            <v/>
          </cell>
          <cell r="E732" t="str">
            <v/>
          </cell>
          <cell r="F732" t="str">
            <v/>
          </cell>
          <cell r="I732"/>
          <cell r="J732"/>
        </row>
        <row r="733">
          <cell r="D733" t="str">
            <v/>
          </cell>
          <cell r="E733" t="str">
            <v/>
          </cell>
          <cell r="F733" t="str">
            <v/>
          </cell>
          <cell r="I733"/>
          <cell r="J733"/>
        </row>
        <row r="734">
          <cell r="D734" t="str">
            <v/>
          </cell>
          <cell r="E734" t="str">
            <v/>
          </cell>
          <cell r="F734" t="str">
            <v/>
          </cell>
          <cell r="I734"/>
          <cell r="J734"/>
        </row>
        <row r="735">
          <cell r="D735" t="str">
            <v/>
          </cell>
          <cell r="E735" t="str">
            <v/>
          </cell>
          <cell r="F735" t="str">
            <v/>
          </cell>
          <cell r="I735"/>
          <cell r="J735"/>
        </row>
        <row r="736">
          <cell r="D736" t="str">
            <v/>
          </cell>
          <cell r="E736" t="str">
            <v/>
          </cell>
          <cell r="F736" t="str">
            <v/>
          </cell>
          <cell r="I736"/>
          <cell r="J736"/>
        </row>
        <row r="737">
          <cell r="D737" t="str">
            <v/>
          </cell>
          <cell r="E737" t="str">
            <v/>
          </cell>
          <cell r="F737" t="str">
            <v/>
          </cell>
          <cell r="I737"/>
          <cell r="J737"/>
        </row>
        <row r="738">
          <cell r="D738" t="str">
            <v/>
          </cell>
          <cell r="E738" t="str">
            <v/>
          </cell>
          <cell r="F738" t="str">
            <v/>
          </cell>
          <cell r="I738"/>
          <cell r="J738"/>
        </row>
        <row r="739">
          <cell r="D739" t="str">
            <v/>
          </cell>
          <cell r="E739" t="str">
            <v/>
          </cell>
          <cell r="F739" t="str">
            <v/>
          </cell>
          <cell r="I739"/>
          <cell r="J739"/>
        </row>
        <row r="740">
          <cell r="D740" t="str">
            <v/>
          </cell>
          <cell r="E740" t="str">
            <v/>
          </cell>
          <cell r="F740" t="str">
            <v/>
          </cell>
          <cell r="I740"/>
          <cell r="J740"/>
        </row>
        <row r="741">
          <cell r="D741" t="str">
            <v/>
          </cell>
          <cell r="E741" t="str">
            <v/>
          </cell>
          <cell r="F741" t="str">
            <v/>
          </cell>
          <cell r="I741"/>
          <cell r="J741"/>
        </row>
        <row r="742">
          <cell r="D742" t="str">
            <v/>
          </cell>
          <cell r="E742" t="str">
            <v/>
          </cell>
          <cell r="F742" t="str">
            <v/>
          </cell>
          <cell r="I742"/>
          <cell r="J742"/>
        </row>
        <row r="743">
          <cell r="D743" t="str">
            <v/>
          </cell>
          <cell r="E743" t="str">
            <v/>
          </cell>
          <cell r="F743" t="str">
            <v/>
          </cell>
          <cell r="I743"/>
          <cell r="J743"/>
        </row>
        <row r="744">
          <cell r="D744" t="str">
            <v/>
          </cell>
          <cell r="E744" t="str">
            <v/>
          </cell>
          <cell r="F744" t="str">
            <v/>
          </cell>
          <cell r="I744"/>
          <cell r="J744"/>
        </row>
        <row r="745">
          <cell r="D745" t="str">
            <v/>
          </cell>
          <cell r="E745" t="str">
            <v/>
          </cell>
          <cell r="F745" t="str">
            <v/>
          </cell>
          <cell r="I745"/>
          <cell r="J745"/>
        </row>
        <row r="746">
          <cell r="D746" t="str">
            <v/>
          </cell>
          <cell r="E746" t="str">
            <v/>
          </cell>
          <cell r="F746" t="str">
            <v/>
          </cell>
          <cell r="I746"/>
          <cell r="J746"/>
        </row>
        <row r="747">
          <cell r="D747" t="str">
            <v/>
          </cell>
          <cell r="E747" t="str">
            <v/>
          </cell>
          <cell r="F747" t="str">
            <v/>
          </cell>
          <cell r="I747"/>
          <cell r="J747"/>
        </row>
        <row r="748">
          <cell r="D748" t="str">
            <v/>
          </cell>
          <cell r="E748" t="str">
            <v/>
          </cell>
          <cell r="F748" t="str">
            <v/>
          </cell>
          <cell r="I748"/>
          <cell r="J748"/>
        </row>
        <row r="749">
          <cell r="D749" t="str">
            <v/>
          </cell>
          <cell r="E749" t="str">
            <v/>
          </cell>
          <cell r="F749" t="str">
            <v/>
          </cell>
          <cell r="I749"/>
          <cell r="J749"/>
        </row>
        <row r="750">
          <cell r="D750" t="str">
            <v/>
          </cell>
          <cell r="E750" t="str">
            <v/>
          </cell>
          <cell r="F750" t="str">
            <v/>
          </cell>
          <cell r="I750"/>
          <cell r="J750"/>
        </row>
        <row r="751">
          <cell r="D751" t="str">
            <v/>
          </cell>
          <cell r="E751" t="str">
            <v/>
          </cell>
          <cell r="F751" t="str">
            <v/>
          </cell>
          <cell r="I751"/>
          <cell r="J751"/>
        </row>
        <row r="752">
          <cell r="D752" t="str">
            <v/>
          </cell>
          <cell r="E752" t="str">
            <v/>
          </cell>
          <cell r="F752" t="str">
            <v/>
          </cell>
          <cell r="I752"/>
          <cell r="J752"/>
        </row>
        <row r="753">
          <cell r="D753" t="str">
            <v/>
          </cell>
          <cell r="E753" t="str">
            <v/>
          </cell>
          <cell r="F753" t="str">
            <v/>
          </cell>
          <cell r="I753"/>
          <cell r="J753"/>
        </row>
        <row r="754">
          <cell r="D754" t="str">
            <v/>
          </cell>
          <cell r="E754" t="str">
            <v/>
          </cell>
          <cell r="F754" t="str">
            <v/>
          </cell>
          <cell r="I754"/>
          <cell r="J754"/>
        </row>
        <row r="755">
          <cell r="D755" t="str">
            <v/>
          </cell>
          <cell r="E755" t="str">
            <v/>
          </cell>
          <cell r="F755" t="str">
            <v/>
          </cell>
          <cell r="I755"/>
          <cell r="J755"/>
        </row>
        <row r="756">
          <cell r="D756" t="str">
            <v/>
          </cell>
          <cell r="E756" t="str">
            <v/>
          </cell>
          <cell r="F756" t="str">
            <v/>
          </cell>
          <cell r="I756"/>
          <cell r="J756"/>
        </row>
        <row r="757">
          <cell r="D757" t="str">
            <v/>
          </cell>
          <cell r="E757" t="str">
            <v/>
          </cell>
          <cell r="F757" t="str">
            <v/>
          </cell>
          <cell r="I757"/>
          <cell r="J757"/>
        </row>
        <row r="758">
          <cell r="D758" t="str">
            <v/>
          </cell>
          <cell r="E758" t="str">
            <v/>
          </cell>
          <cell r="F758" t="str">
            <v/>
          </cell>
          <cell r="I758"/>
          <cell r="J758"/>
        </row>
        <row r="759">
          <cell r="D759" t="str">
            <v/>
          </cell>
          <cell r="E759" t="str">
            <v/>
          </cell>
          <cell r="F759" t="str">
            <v/>
          </cell>
          <cell r="I759"/>
          <cell r="J759"/>
        </row>
        <row r="760">
          <cell r="D760" t="str">
            <v/>
          </cell>
          <cell r="E760" t="str">
            <v/>
          </cell>
          <cell r="F760" t="str">
            <v/>
          </cell>
          <cell r="I760"/>
          <cell r="J760"/>
        </row>
        <row r="761">
          <cell r="D761" t="str">
            <v/>
          </cell>
          <cell r="E761" t="str">
            <v/>
          </cell>
          <cell r="F761" t="str">
            <v/>
          </cell>
          <cell r="I761"/>
          <cell r="J761"/>
        </row>
        <row r="762">
          <cell r="D762" t="str">
            <v/>
          </cell>
          <cell r="E762" t="str">
            <v/>
          </cell>
          <cell r="F762" t="str">
            <v/>
          </cell>
          <cell r="I762"/>
          <cell r="J762"/>
        </row>
        <row r="763">
          <cell r="D763" t="str">
            <v/>
          </cell>
          <cell r="E763" t="str">
            <v/>
          </cell>
          <cell r="F763" t="str">
            <v/>
          </cell>
          <cell r="I763"/>
          <cell r="J763"/>
        </row>
        <row r="764">
          <cell r="D764" t="str">
            <v/>
          </cell>
          <cell r="E764" t="str">
            <v/>
          </cell>
          <cell r="F764" t="str">
            <v/>
          </cell>
          <cell r="I764"/>
          <cell r="J764"/>
        </row>
        <row r="765">
          <cell r="D765" t="str">
            <v/>
          </cell>
          <cell r="E765" t="str">
            <v/>
          </cell>
          <cell r="F765" t="str">
            <v/>
          </cell>
          <cell r="I765"/>
          <cell r="J765"/>
        </row>
        <row r="766">
          <cell r="D766" t="str">
            <v/>
          </cell>
          <cell r="E766" t="str">
            <v/>
          </cell>
          <cell r="F766" t="str">
            <v/>
          </cell>
          <cell r="I766"/>
          <cell r="J766"/>
        </row>
        <row r="767">
          <cell r="D767" t="str">
            <v/>
          </cell>
          <cell r="E767" t="str">
            <v/>
          </cell>
          <cell r="F767" t="str">
            <v/>
          </cell>
          <cell r="I767"/>
          <cell r="J767"/>
        </row>
        <row r="768">
          <cell r="D768" t="str">
            <v/>
          </cell>
          <cell r="E768" t="str">
            <v/>
          </cell>
          <cell r="F768" t="str">
            <v/>
          </cell>
          <cell r="I768"/>
          <cell r="J768"/>
        </row>
        <row r="769">
          <cell r="D769" t="str">
            <v/>
          </cell>
          <cell r="E769" t="str">
            <v/>
          </cell>
          <cell r="F769" t="str">
            <v/>
          </cell>
          <cell r="I769"/>
          <cell r="J769"/>
        </row>
        <row r="770">
          <cell r="D770" t="str">
            <v/>
          </cell>
          <cell r="E770" t="str">
            <v/>
          </cell>
          <cell r="F770" t="str">
            <v/>
          </cell>
          <cell r="I770"/>
          <cell r="J770"/>
        </row>
        <row r="771">
          <cell r="D771" t="str">
            <v/>
          </cell>
          <cell r="E771" t="str">
            <v/>
          </cell>
          <cell r="F771" t="str">
            <v/>
          </cell>
          <cell r="I771"/>
          <cell r="J771"/>
        </row>
        <row r="772">
          <cell r="D772" t="str">
            <v/>
          </cell>
          <cell r="E772" t="str">
            <v/>
          </cell>
          <cell r="F772" t="str">
            <v/>
          </cell>
          <cell r="I772"/>
          <cell r="J772"/>
        </row>
        <row r="773">
          <cell r="D773" t="str">
            <v/>
          </cell>
          <cell r="E773" t="str">
            <v/>
          </cell>
          <cell r="F773" t="str">
            <v/>
          </cell>
          <cell r="I773"/>
          <cell r="J773"/>
        </row>
        <row r="774">
          <cell r="D774" t="str">
            <v/>
          </cell>
          <cell r="E774" t="str">
            <v/>
          </cell>
          <cell r="F774" t="str">
            <v/>
          </cell>
          <cell r="I774"/>
          <cell r="J774"/>
        </row>
        <row r="775">
          <cell r="D775" t="str">
            <v/>
          </cell>
          <cell r="E775" t="str">
            <v/>
          </cell>
          <cell r="F775" t="str">
            <v/>
          </cell>
          <cell r="I775"/>
          <cell r="J775"/>
        </row>
        <row r="776">
          <cell r="D776" t="str">
            <v/>
          </cell>
          <cell r="E776" t="str">
            <v/>
          </cell>
          <cell r="F776" t="str">
            <v/>
          </cell>
          <cell r="I776"/>
          <cell r="J776"/>
        </row>
        <row r="777">
          <cell r="D777" t="str">
            <v/>
          </cell>
          <cell r="E777" t="str">
            <v/>
          </cell>
          <cell r="F777" t="str">
            <v/>
          </cell>
          <cell r="I777"/>
          <cell r="J777"/>
        </row>
        <row r="778">
          <cell r="D778" t="str">
            <v/>
          </cell>
          <cell r="E778" t="str">
            <v/>
          </cell>
          <cell r="F778" t="str">
            <v/>
          </cell>
          <cell r="I778"/>
          <cell r="J778"/>
        </row>
        <row r="779">
          <cell r="D779" t="str">
            <v/>
          </cell>
          <cell r="E779" t="str">
            <v/>
          </cell>
          <cell r="F779" t="str">
            <v/>
          </cell>
          <cell r="I779"/>
          <cell r="J779"/>
        </row>
        <row r="780">
          <cell r="D780" t="str">
            <v/>
          </cell>
          <cell r="E780" t="str">
            <v/>
          </cell>
          <cell r="F780" t="str">
            <v/>
          </cell>
          <cell r="I780"/>
          <cell r="J780"/>
        </row>
        <row r="781">
          <cell r="D781" t="str">
            <v/>
          </cell>
          <cell r="E781" t="str">
            <v/>
          </cell>
          <cell r="F781" t="str">
            <v/>
          </cell>
          <cell r="I781"/>
          <cell r="J781"/>
        </row>
        <row r="782">
          <cell r="D782" t="str">
            <v/>
          </cell>
          <cell r="E782" t="str">
            <v/>
          </cell>
          <cell r="F782" t="str">
            <v/>
          </cell>
          <cell r="I782"/>
          <cell r="J782"/>
        </row>
        <row r="783">
          <cell r="D783" t="str">
            <v/>
          </cell>
          <cell r="E783" t="str">
            <v/>
          </cell>
          <cell r="F783" t="str">
            <v/>
          </cell>
          <cell r="I783"/>
          <cell r="J783"/>
        </row>
        <row r="784">
          <cell r="D784" t="str">
            <v/>
          </cell>
          <cell r="E784" t="str">
            <v/>
          </cell>
          <cell r="F784" t="str">
            <v/>
          </cell>
          <cell r="I784"/>
          <cell r="J784"/>
        </row>
        <row r="785">
          <cell r="D785" t="str">
            <v/>
          </cell>
          <cell r="E785" t="str">
            <v/>
          </cell>
          <cell r="F785" t="str">
            <v/>
          </cell>
          <cell r="I785"/>
          <cell r="J785"/>
        </row>
        <row r="786">
          <cell r="D786" t="str">
            <v/>
          </cell>
          <cell r="E786" t="str">
            <v/>
          </cell>
          <cell r="F786" t="str">
            <v/>
          </cell>
          <cell r="I786"/>
          <cell r="J786"/>
        </row>
        <row r="787">
          <cell r="D787" t="str">
            <v/>
          </cell>
          <cell r="E787" t="str">
            <v/>
          </cell>
          <cell r="F787" t="str">
            <v/>
          </cell>
          <cell r="I787"/>
          <cell r="J787"/>
        </row>
        <row r="788">
          <cell r="D788" t="str">
            <v/>
          </cell>
          <cell r="E788" t="str">
            <v/>
          </cell>
          <cell r="F788" t="str">
            <v/>
          </cell>
          <cell r="I788"/>
          <cell r="J788"/>
        </row>
        <row r="789">
          <cell r="D789" t="str">
            <v/>
          </cell>
          <cell r="E789" t="str">
            <v/>
          </cell>
          <cell r="F789" t="str">
            <v/>
          </cell>
          <cell r="I789"/>
          <cell r="J789"/>
        </row>
        <row r="790">
          <cell r="D790" t="str">
            <v/>
          </cell>
          <cell r="E790" t="str">
            <v/>
          </cell>
          <cell r="F790" t="str">
            <v/>
          </cell>
          <cell r="I790"/>
          <cell r="J790"/>
        </row>
        <row r="791">
          <cell r="D791" t="str">
            <v/>
          </cell>
          <cell r="E791" t="str">
            <v/>
          </cell>
          <cell r="F791" t="str">
            <v/>
          </cell>
          <cell r="I791"/>
          <cell r="J791"/>
        </row>
        <row r="792">
          <cell r="D792" t="str">
            <v/>
          </cell>
          <cell r="E792" t="str">
            <v/>
          </cell>
          <cell r="F792" t="str">
            <v/>
          </cell>
          <cell r="I792"/>
          <cell r="J792"/>
        </row>
        <row r="793">
          <cell r="D793" t="str">
            <v/>
          </cell>
          <cell r="E793" t="str">
            <v/>
          </cell>
          <cell r="F793" t="str">
            <v/>
          </cell>
          <cell r="I793"/>
          <cell r="J793"/>
        </row>
        <row r="794">
          <cell r="D794" t="str">
            <v/>
          </cell>
          <cell r="E794" t="str">
            <v/>
          </cell>
          <cell r="F794" t="str">
            <v/>
          </cell>
          <cell r="I794"/>
          <cell r="J794"/>
        </row>
        <row r="795">
          <cell r="D795" t="str">
            <v/>
          </cell>
          <cell r="E795" t="str">
            <v/>
          </cell>
          <cell r="F795" t="str">
            <v/>
          </cell>
          <cell r="I795"/>
          <cell r="J795"/>
        </row>
        <row r="796">
          <cell r="D796" t="str">
            <v/>
          </cell>
          <cell r="E796" t="str">
            <v/>
          </cell>
          <cell r="F796" t="str">
            <v/>
          </cell>
          <cell r="I796"/>
          <cell r="J796"/>
        </row>
        <row r="797">
          <cell r="D797" t="str">
            <v/>
          </cell>
          <cell r="E797" t="str">
            <v/>
          </cell>
          <cell r="F797" t="str">
            <v/>
          </cell>
          <cell r="I797"/>
          <cell r="J797"/>
        </row>
        <row r="798">
          <cell r="D798" t="str">
            <v/>
          </cell>
          <cell r="E798" t="str">
            <v/>
          </cell>
          <cell r="F798" t="str">
            <v/>
          </cell>
          <cell r="I798"/>
          <cell r="J798"/>
        </row>
        <row r="799">
          <cell r="D799" t="str">
            <v/>
          </cell>
          <cell r="E799" t="str">
            <v/>
          </cell>
          <cell r="F799" t="str">
            <v/>
          </cell>
          <cell r="I799"/>
          <cell r="J799"/>
        </row>
        <row r="800">
          <cell r="D800" t="str">
            <v/>
          </cell>
          <cell r="E800" t="str">
            <v/>
          </cell>
          <cell r="F800" t="str">
            <v/>
          </cell>
          <cell r="I800"/>
          <cell r="J800"/>
        </row>
        <row r="801">
          <cell r="D801" t="str">
            <v/>
          </cell>
          <cell r="E801" t="str">
            <v/>
          </cell>
          <cell r="F801" t="str">
            <v/>
          </cell>
          <cell r="I801"/>
          <cell r="J801"/>
        </row>
        <row r="802">
          <cell r="D802" t="str">
            <v/>
          </cell>
          <cell r="E802" t="str">
            <v/>
          </cell>
          <cell r="F802" t="str">
            <v/>
          </cell>
          <cell r="I802"/>
          <cell r="J802"/>
        </row>
        <row r="803">
          <cell r="D803" t="str">
            <v/>
          </cell>
          <cell r="E803" t="str">
            <v/>
          </cell>
          <cell r="F803" t="str">
            <v/>
          </cell>
          <cell r="I803"/>
          <cell r="J803"/>
        </row>
        <row r="804">
          <cell r="D804" t="str">
            <v/>
          </cell>
          <cell r="E804" t="str">
            <v/>
          </cell>
          <cell r="F804" t="str">
            <v/>
          </cell>
          <cell r="I804"/>
          <cell r="J804"/>
        </row>
        <row r="805">
          <cell r="D805" t="str">
            <v/>
          </cell>
          <cell r="E805" t="str">
            <v/>
          </cell>
          <cell r="F805" t="str">
            <v/>
          </cell>
          <cell r="I805"/>
          <cell r="J805"/>
        </row>
        <row r="806">
          <cell r="D806" t="str">
            <v/>
          </cell>
          <cell r="E806" t="str">
            <v/>
          </cell>
          <cell r="F806" t="str">
            <v/>
          </cell>
          <cell r="I806"/>
          <cell r="J806"/>
        </row>
        <row r="807">
          <cell r="D807" t="str">
            <v/>
          </cell>
          <cell r="E807" t="str">
            <v/>
          </cell>
          <cell r="F807" t="str">
            <v/>
          </cell>
          <cell r="I807"/>
          <cell r="J807"/>
        </row>
        <row r="808">
          <cell r="D808" t="str">
            <v/>
          </cell>
          <cell r="E808" t="str">
            <v/>
          </cell>
          <cell r="F808" t="str">
            <v/>
          </cell>
          <cell r="I808"/>
          <cell r="J808"/>
        </row>
        <row r="809">
          <cell r="D809" t="str">
            <v/>
          </cell>
          <cell r="E809" t="str">
            <v/>
          </cell>
          <cell r="F809" t="str">
            <v/>
          </cell>
          <cell r="I809"/>
          <cell r="J809"/>
        </row>
        <row r="810">
          <cell r="D810" t="str">
            <v/>
          </cell>
          <cell r="E810" t="str">
            <v/>
          </cell>
          <cell r="F810" t="str">
            <v/>
          </cell>
          <cell r="I810"/>
          <cell r="J810"/>
        </row>
        <row r="811">
          <cell r="D811" t="str">
            <v/>
          </cell>
          <cell r="E811" t="str">
            <v/>
          </cell>
          <cell r="F811" t="str">
            <v/>
          </cell>
          <cell r="I811"/>
          <cell r="J811"/>
        </row>
        <row r="812">
          <cell r="D812" t="str">
            <v/>
          </cell>
          <cell r="E812" t="str">
            <v/>
          </cell>
          <cell r="F812" t="str">
            <v/>
          </cell>
          <cell r="I812"/>
          <cell r="J812"/>
        </row>
        <row r="813">
          <cell r="D813" t="str">
            <v/>
          </cell>
          <cell r="E813" t="str">
            <v/>
          </cell>
          <cell r="F813" t="str">
            <v/>
          </cell>
          <cell r="I813"/>
          <cell r="J813"/>
        </row>
        <row r="814">
          <cell r="D814" t="str">
            <v/>
          </cell>
          <cell r="E814" t="str">
            <v/>
          </cell>
          <cell r="F814" t="str">
            <v/>
          </cell>
          <cell r="I814"/>
          <cell r="J814"/>
        </row>
        <row r="815">
          <cell r="D815" t="str">
            <v/>
          </cell>
          <cell r="E815" t="str">
            <v/>
          </cell>
          <cell r="F815" t="str">
            <v/>
          </cell>
          <cell r="I815"/>
          <cell r="J815"/>
        </row>
        <row r="816">
          <cell r="D816" t="str">
            <v/>
          </cell>
          <cell r="E816" t="str">
            <v/>
          </cell>
          <cell r="F816" t="str">
            <v/>
          </cell>
          <cell r="I816"/>
          <cell r="J816"/>
        </row>
        <row r="817">
          <cell r="D817" t="str">
            <v/>
          </cell>
          <cell r="E817" t="str">
            <v/>
          </cell>
          <cell r="F817" t="str">
            <v/>
          </cell>
          <cell r="I817"/>
          <cell r="J817"/>
        </row>
        <row r="818">
          <cell r="D818" t="str">
            <v/>
          </cell>
          <cell r="E818" t="str">
            <v/>
          </cell>
          <cell r="F818" t="str">
            <v/>
          </cell>
          <cell r="I818"/>
          <cell r="J818"/>
        </row>
        <row r="819">
          <cell r="D819" t="str">
            <v/>
          </cell>
          <cell r="E819" t="str">
            <v/>
          </cell>
          <cell r="F819" t="str">
            <v/>
          </cell>
          <cell r="I819"/>
          <cell r="J819"/>
        </row>
        <row r="820">
          <cell r="D820" t="str">
            <v/>
          </cell>
          <cell r="E820" t="str">
            <v/>
          </cell>
          <cell r="F820" t="str">
            <v/>
          </cell>
          <cell r="I820"/>
          <cell r="J820"/>
        </row>
        <row r="821">
          <cell r="D821" t="str">
            <v/>
          </cell>
          <cell r="E821" t="str">
            <v/>
          </cell>
          <cell r="F821" t="str">
            <v/>
          </cell>
          <cell r="I821"/>
          <cell r="J821"/>
        </row>
        <row r="822">
          <cell r="D822" t="str">
            <v/>
          </cell>
          <cell r="E822" t="str">
            <v/>
          </cell>
          <cell r="F822" t="str">
            <v/>
          </cell>
          <cell r="I822"/>
          <cell r="J822"/>
        </row>
        <row r="823">
          <cell r="D823" t="str">
            <v/>
          </cell>
          <cell r="E823" t="str">
            <v/>
          </cell>
          <cell r="F823" t="str">
            <v/>
          </cell>
          <cell r="I823"/>
          <cell r="J823"/>
        </row>
        <row r="824">
          <cell r="D824" t="str">
            <v/>
          </cell>
          <cell r="E824" t="str">
            <v/>
          </cell>
          <cell r="F824" t="str">
            <v/>
          </cell>
          <cell r="I824"/>
          <cell r="J824"/>
        </row>
        <row r="825">
          <cell r="D825" t="str">
            <v/>
          </cell>
          <cell r="E825" t="str">
            <v/>
          </cell>
          <cell r="F825" t="str">
            <v/>
          </cell>
          <cell r="I825"/>
          <cell r="J825"/>
        </row>
        <row r="826">
          <cell r="D826" t="str">
            <v/>
          </cell>
          <cell r="E826" t="str">
            <v/>
          </cell>
          <cell r="F826" t="str">
            <v/>
          </cell>
          <cell r="I826"/>
          <cell r="J826"/>
        </row>
        <row r="827">
          <cell r="D827" t="str">
            <v/>
          </cell>
          <cell r="E827" t="str">
            <v/>
          </cell>
          <cell r="F827" t="str">
            <v/>
          </cell>
          <cell r="I827"/>
          <cell r="J827"/>
        </row>
        <row r="828">
          <cell r="D828" t="str">
            <v/>
          </cell>
          <cell r="E828" t="str">
            <v/>
          </cell>
          <cell r="F828" t="str">
            <v/>
          </cell>
          <cell r="I828"/>
          <cell r="J828"/>
        </row>
        <row r="829">
          <cell r="D829" t="str">
            <v/>
          </cell>
          <cell r="E829" t="str">
            <v/>
          </cell>
          <cell r="F829" t="str">
            <v/>
          </cell>
          <cell r="I829"/>
          <cell r="J829"/>
        </row>
        <row r="830">
          <cell r="D830" t="str">
            <v/>
          </cell>
          <cell r="E830" t="str">
            <v/>
          </cell>
          <cell r="F830" t="str">
            <v/>
          </cell>
          <cell r="I830"/>
          <cell r="J830"/>
        </row>
        <row r="831">
          <cell r="D831" t="str">
            <v/>
          </cell>
          <cell r="E831" t="str">
            <v/>
          </cell>
          <cell r="F831" t="str">
            <v/>
          </cell>
          <cell r="I831"/>
          <cell r="J831"/>
        </row>
        <row r="832">
          <cell r="D832" t="str">
            <v/>
          </cell>
          <cell r="E832" t="str">
            <v/>
          </cell>
          <cell r="F832" t="str">
            <v/>
          </cell>
          <cell r="I832"/>
          <cell r="J832"/>
        </row>
        <row r="833">
          <cell r="D833" t="str">
            <v/>
          </cell>
          <cell r="E833" t="str">
            <v/>
          </cell>
          <cell r="F833" t="str">
            <v/>
          </cell>
          <cell r="I833"/>
          <cell r="J833"/>
        </row>
        <row r="834">
          <cell r="D834" t="str">
            <v/>
          </cell>
          <cell r="E834" t="str">
            <v/>
          </cell>
          <cell r="F834" t="str">
            <v/>
          </cell>
          <cell r="I834"/>
          <cell r="J834"/>
        </row>
        <row r="835">
          <cell r="D835" t="str">
            <v/>
          </cell>
          <cell r="E835" t="str">
            <v/>
          </cell>
          <cell r="F835" t="str">
            <v/>
          </cell>
          <cell r="I835"/>
          <cell r="J835"/>
        </row>
        <row r="836">
          <cell r="D836" t="str">
            <v/>
          </cell>
          <cell r="E836" t="str">
            <v/>
          </cell>
          <cell r="F836" t="str">
            <v/>
          </cell>
          <cell r="I836"/>
          <cell r="J836"/>
        </row>
        <row r="837">
          <cell r="D837" t="str">
            <v/>
          </cell>
          <cell r="E837" t="str">
            <v/>
          </cell>
          <cell r="F837" t="str">
            <v/>
          </cell>
          <cell r="I837"/>
          <cell r="J837"/>
        </row>
        <row r="838">
          <cell r="D838" t="str">
            <v/>
          </cell>
          <cell r="E838" t="str">
            <v/>
          </cell>
          <cell r="F838" t="str">
            <v/>
          </cell>
          <cell r="I838"/>
          <cell r="J838"/>
        </row>
        <row r="839">
          <cell r="D839" t="str">
            <v/>
          </cell>
          <cell r="E839" t="str">
            <v/>
          </cell>
          <cell r="F839" t="str">
            <v/>
          </cell>
          <cell r="I839"/>
          <cell r="J839"/>
        </row>
        <row r="840">
          <cell r="D840" t="str">
            <v/>
          </cell>
          <cell r="E840" t="str">
            <v/>
          </cell>
          <cell r="F840" t="str">
            <v/>
          </cell>
          <cell r="I840"/>
          <cell r="J840"/>
        </row>
        <row r="841">
          <cell r="D841" t="str">
            <v/>
          </cell>
          <cell r="E841" t="str">
            <v/>
          </cell>
          <cell r="F841" t="str">
            <v/>
          </cell>
          <cell r="I841"/>
          <cell r="J841"/>
        </row>
        <row r="842">
          <cell r="D842" t="str">
            <v/>
          </cell>
          <cell r="E842" t="str">
            <v/>
          </cell>
          <cell r="F842" t="str">
            <v/>
          </cell>
          <cell r="I842"/>
          <cell r="J842"/>
        </row>
        <row r="843">
          <cell r="D843" t="str">
            <v/>
          </cell>
          <cell r="E843" t="str">
            <v/>
          </cell>
          <cell r="F843" t="str">
            <v/>
          </cell>
          <cell r="I843"/>
          <cell r="J843"/>
        </row>
        <row r="844">
          <cell r="D844" t="str">
            <v/>
          </cell>
          <cell r="E844" t="str">
            <v/>
          </cell>
          <cell r="F844" t="str">
            <v/>
          </cell>
          <cell r="I844"/>
          <cell r="J844"/>
        </row>
        <row r="845">
          <cell r="D845" t="str">
            <v/>
          </cell>
          <cell r="E845" t="str">
            <v/>
          </cell>
          <cell r="F845" t="str">
            <v/>
          </cell>
          <cell r="I845"/>
          <cell r="J845"/>
        </row>
        <row r="846">
          <cell r="D846" t="str">
            <v/>
          </cell>
          <cell r="E846" t="str">
            <v/>
          </cell>
          <cell r="F846" t="str">
            <v/>
          </cell>
          <cell r="I846"/>
          <cell r="J846"/>
        </row>
        <row r="847">
          <cell r="D847" t="str">
            <v/>
          </cell>
          <cell r="E847" t="str">
            <v/>
          </cell>
          <cell r="F847" t="str">
            <v/>
          </cell>
          <cell r="I847"/>
          <cell r="J847"/>
        </row>
        <row r="848">
          <cell r="D848" t="str">
            <v/>
          </cell>
          <cell r="E848" t="str">
            <v/>
          </cell>
          <cell r="F848" t="str">
            <v/>
          </cell>
          <cell r="I848"/>
          <cell r="J848"/>
        </row>
        <row r="849">
          <cell r="D849" t="str">
            <v/>
          </cell>
          <cell r="E849" t="str">
            <v/>
          </cell>
          <cell r="F849" t="str">
            <v/>
          </cell>
          <cell r="I849"/>
          <cell r="J849"/>
        </row>
        <row r="850">
          <cell r="D850" t="str">
            <v/>
          </cell>
          <cell r="E850" t="str">
            <v/>
          </cell>
          <cell r="F850" t="str">
            <v/>
          </cell>
          <cell r="I850"/>
          <cell r="J850"/>
        </row>
        <row r="851">
          <cell r="D851" t="str">
            <v/>
          </cell>
          <cell r="E851" t="str">
            <v/>
          </cell>
          <cell r="F851" t="str">
            <v/>
          </cell>
          <cell r="I851"/>
          <cell r="J851"/>
        </row>
        <row r="852">
          <cell r="D852" t="str">
            <v/>
          </cell>
          <cell r="E852" t="str">
            <v/>
          </cell>
          <cell r="F852" t="str">
            <v/>
          </cell>
          <cell r="I852"/>
          <cell r="J852"/>
        </row>
        <row r="853">
          <cell r="D853" t="str">
            <v/>
          </cell>
          <cell r="E853" t="str">
            <v/>
          </cell>
          <cell r="F853" t="str">
            <v/>
          </cell>
          <cell r="I853"/>
          <cell r="J853"/>
        </row>
        <row r="854">
          <cell r="D854" t="str">
            <v/>
          </cell>
          <cell r="E854" t="str">
            <v/>
          </cell>
          <cell r="F854" t="str">
            <v/>
          </cell>
          <cell r="I854"/>
          <cell r="J854"/>
        </row>
        <row r="855">
          <cell r="D855" t="str">
            <v/>
          </cell>
          <cell r="E855" t="str">
            <v/>
          </cell>
          <cell r="F855" t="str">
            <v/>
          </cell>
          <cell r="I855"/>
          <cell r="J855"/>
        </row>
        <row r="856">
          <cell r="D856" t="str">
            <v/>
          </cell>
          <cell r="E856" t="str">
            <v/>
          </cell>
          <cell r="F856" t="str">
            <v/>
          </cell>
          <cell r="I856"/>
          <cell r="J856"/>
        </row>
        <row r="857">
          <cell r="D857" t="str">
            <v/>
          </cell>
          <cell r="E857" t="str">
            <v/>
          </cell>
          <cell r="F857" t="str">
            <v/>
          </cell>
          <cell r="I857"/>
          <cell r="J857"/>
        </row>
        <row r="858">
          <cell r="D858" t="str">
            <v/>
          </cell>
          <cell r="E858" t="str">
            <v/>
          </cell>
          <cell r="F858" t="str">
            <v/>
          </cell>
          <cell r="I858"/>
          <cell r="J858"/>
        </row>
        <row r="859">
          <cell r="D859" t="str">
            <v/>
          </cell>
          <cell r="E859" t="str">
            <v/>
          </cell>
          <cell r="F859" t="str">
            <v/>
          </cell>
          <cell r="I859"/>
          <cell r="J859"/>
        </row>
        <row r="860">
          <cell r="D860" t="str">
            <v/>
          </cell>
          <cell r="E860" t="str">
            <v/>
          </cell>
          <cell r="F860" t="str">
            <v/>
          </cell>
          <cell r="I860"/>
          <cell r="J860"/>
        </row>
        <row r="861">
          <cell r="D861" t="str">
            <v/>
          </cell>
          <cell r="E861" t="str">
            <v/>
          </cell>
          <cell r="F861" t="str">
            <v/>
          </cell>
          <cell r="I861"/>
          <cell r="J861"/>
        </row>
        <row r="862">
          <cell r="D862" t="str">
            <v/>
          </cell>
          <cell r="E862" t="str">
            <v/>
          </cell>
          <cell r="F862" t="str">
            <v/>
          </cell>
          <cell r="I862"/>
          <cell r="J862"/>
        </row>
        <row r="863">
          <cell r="D863" t="str">
            <v/>
          </cell>
          <cell r="E863" t="str">
            <v/>
          </cell>
          <cell r="F863" t="str">
            <v/>
          </cell>
          <cell r="I863"/>
          <cell r="J863"/>
        </row>
        <row r="864">
          <cell r="D864" t="str">
            <v/>
          </cell>
          <cell r="E864" t="str">
            <v/>
          </cell>
          <cell r="F864" t="str">
            <v/>
          </cell>
          <cell r="I864"/>
          <cell r="J864"/>
        </row>
        <row r="865">
          <cell r="D865" t="str">
            <v/>
          </cell>
          <cell r="E865" t="str">
            <v/>
          </cell>
          <cell r="F865" t="str">
            <v/>
          </cell>
          <cell r="I865"/>
          <cell r="J865"/>
        </row>
        <row r="866">
          <cell r="D866" t="str">
            <v/>
          </cell>
          <cell r="E866" t="str">
            <v/>
          </cell>
          <cell r="F866" t="str">
            <v/>
          </cell>
          <cell r="I866"/>
          <cell r="J866"/>
        </row>
        <row r="867">
          <cell r="D867" t="str">
            <v/>
          </cell>
          <cell r="E867" t="str">
            <v/>
          </cell>
          <cell r="F867" t="str">
            <v/>
          </cell>
          <cell r="I867"/>
          <cell r="J867"/>
        </row>
        <row r="868">
          <cell r="D868" t="str">
            <v/>
          </cell>
          <cell r="E868" t="str">
            <v/>
          </cell>
          <cell r="F868" t="str">
            <v/>
          </cell>
          <cell r="I868"/>
          <cell r="J868"/>
        </row>
        <row r="869">
          <cell r="D869" t="str">
            <v/>
          </cell>
          <cell r="E869" t="str">
            <v/>
          </cell>
          <cell r="F869" t="str">
            <v/>
          </cell>
          <cell r="I869"/>
          <cell r="J869"/>
        </row>
        <row r="870">
          <cell r="D870" t="str">
            <v/>
          </cell>
          <cell r="E870" t="str">
            <v/>
          </cell>
          <cell r="F870" t="str">
            <v/>
          </cell>
          <cell r="I870"/>
          <cell r="J870"/>
        </row>
        <row r="871">
          <cell r="D871" t="str">
            <v/>
          </cell>
          <cell r="E871" t="str">
            <v/>
          </cell>
          <cell r="F871" t="str">
            <v/>
          </cell>
          <cell r="I871"/>
          <cell r="J871"/>
        </row>
        <row r="872">
          <cell r="D872" t="str">
            <v/>
          </cell>
          <cell r="E872" t="str">
            <v/>
          </cell>
          <cell r="F872" t="str">
            <v/>
          </cell>
          <cell r="I872"/>
          <cell r="J872"/>
        </row>
        <row r="873">
          <cell r="D873" t="str">
            <v/>
          </cell>
          <cell r="E873" t="str">
            <v/>
          </cell>
          <cell r="F873" t="str">
            <v/>
          </cell>
          <cell r="I873"/>
          <cell r="J873"/>
        </row>
        <row r="874">
          <cell r="D874" t="str">
            <v/>
          </cell>
          <cell r="E874" t="str">
            <v/>
          </cell>
          <cell r="F874" t="str">
            <v/>
          </cell>
          <cell r="I874"/>
          <cell r="J874"/>
        </row>
        <row r="875">
          <cell r="D875" t="str">
            <v/>
          </cell>
          <cell r="E875" t="str">
            <v/>
          </cell>
          <cell r="F875" t="str">
            <v/>
          </cell>
          <cell r="I875"/>
          <cell r="J875"/>
        </row>
        <row r="876">
          <cell r="D876" t="str">
            <v/>
          </cell>
          <cell r="E876" t="str">
            <v/>
          </cell>
          <cell r="F876" t="str">
            <v/>
          </cell>
          <cell r="I876"/>
          <cell r="J876"/>
        </row>
        <row r="877">
          <cell r="D877" t="str">
            <v/>
          </cell>
          <cell r="E877" t="str">
            <v/>
          </cell>
          <cell r="F877" t="str">
            <v/>
          </cell>
          <cell r="I877"/>
          <cell r="J877"/>
        </row>
        <row r="878">
          <cell r="D878" t="str">
            <v/>
          </cell>
          <cell r="E878" t="str">
            <v/>
          </cell>
          <cell r="F878" t="str">
            <v/>
          </cell>
          <cell r="I878"/>
          <cell r="J878"/>
        </row>
        <row r="879">
          <cell r="D879" t="str">
            <v/>
          </cell>
          <cell r="E879" t="str">
            <v/>
          </cell>
          <cell r="F879" t="str">
            <v/>
          </cell>
          <cell r="I879"/>
          <cell r="J879"/>
        </row>
        <row r="880">
          <cell r="D880" t="str">
            <v/>
          </cell>
          <cell r="E880" t="str">
            <v/>
          </cell>
          <cell r="F880" t="str">
            <v/>
          </cell>
          <cell r="I880"/>
          <cell r="J880"/>
        </row>
        <row r="881">
          <cell r="D881" t="str">
            <v/>
          </cell>
          <cell r="E881" t="str">
            <v/>
          </cell>
          <cell r="F881" t="str">
            <v/>
          </cell>
          <cell r="I881"/>
          <cell r="J881"/>
        </row>
        <row r="882">
          <cell r="D882" t="str">
            <v/>
          </cell>
          <cell r="E882" t="str">
            <v/>
          </cell>
          <cell r="F882" t="str">
            <v/>
          </cell>
          <cell r="I882"/>
          <cell r="J882"/>
        </row>
        <row r="883">
          <cell r="D883" t="str">
            <v/>
          </cell>
          <cell r="E883" t="str">
            <v/>
          </cell>
          <cell r="F883" t="str">
            <v/>
          </cell>
          <cell r="I883"/>
          <cell r="J883"/>
        </row>
        <row r="884">
          <cell r="D884" t="str">
            <v/>
          </cell>
          <cell r="E884" t="str">
            <v/>
          </cell>
          <cell r="F884" t="str">
            <v/>
          </cell>
          <cell r="I884"/>
          <cell r="J884"/>
        </row>
        <row r="885">
          <cell r="D885" t="str">
            <v/>
          </cell>
          <cell r="E885" t="str">
            <v/>
          </cell>
          <cell r="F885" t="str">
            <v/>
          </cell>
          <cell r="I885"/>
          <cell r="J885"/>
        </row>
        <row r="886">
          <cell r="D886" t="str">
            <v/>
          </cell>
          <cell r="E886" t="str">
            <v/>
          </cell>
          <cell r="F886" t="str">
            <v/>
          </cell>
          <cell r="I886"/>
          <cell r="J886"/>
        </row>
        <row r="887">
          <cell r="D887" t="str">
            <v/>
          </cell>
          <cell r="E887" t="str">
            <v/>
          </cell>
          <cell r="F887" t="str">
            <v/>
          </cell>
          <cell r="I887"/>
          <cell r="J887"/>
        </row>
        <row r="888">
          <cell r="D888" t="str">
            <v/>
          </cell>
          <cell r="E888" t="str">
            <v/>
          </cell>
          <cell r="F888" t="str">
            <v/>
          </cell>
          <cell r="I888"/>
          <cell r="J888"/>
        </row>
        <row r="889">
          <cell r="D889" t="str">
            <v/>
          </cell>
          <cell r="E889" t="str">
            <v/>
          </cell>
          <cell r="F889" t="str">
            <v/>
          </cell>
          <cell r="I889"/>
          <cell r="J889"/>
        </row>
        <row r="890">
          <cell r="D890" t="str">
            <v/>
          </cell>
          <cell r="E890" t="str">
            <v/>
          </cell>
          <cell r="F890" t="str">
            <v/>
          </cell>
          <cell r="I890"/>
          <cell r="J890"/>
        </row>
        <row r="891">
          <cell r="D891" t="str">
            <v/>
          </cell>
          <cell r="E891" t="str">
            <v/>
          </cell>
          <cell r="F891" t="str">
            <v/>
          </cell>
          <cell r="I891"/>
          <cell r="J891"/>
        </row>
        <row r="892">
          <cell r="D892" t="str">
            <v/>
          </cell>
          <cell r="E892" t="str">
            <v/>
          </cell>
          <cell r="F892" t="str">
            <v/>
          </cell>
          <cell r="I892"/>
          <cell r="J892"/>
        </row>
        <row r="893">
          <cell r="D893" t="str">
            <v/>
          </cell>
          <cell r="E893" t="str">
            <v/>
          </cell>
          <cell r="F893" t="str">
            <v/>
          </cell>
          <cell r="I893"/>
          <cell r="J893"/>
        </row>
        <row r="894">
          <cell r="D894" t="str">
            <v/>
          </cell>
          <cell r="E894" t="str">
            <v/>
          </cell>
          <cell r="F894" t="str">
            <v/>
          </cell>
          <cell r="I894"/>
          <cell r="J894"/>
        </row>
        <row r="895">
          <cell r="D895" t="str">
            <v/>
          </cell>
          <cell r="E895" t="str">
            <v/>
          </cell>
          <cell r="F895" t="str">
            <v/>
          </cell>
          <cell r="I895"/>
          <cell r="J895"/>
        </row>
        <row r="896">
          <cell r="D896" t="str">
            <v/>
          </cell>
          <cell r="E896" t="str">
            <v/>
          </cell>
          <cell r="F896" t="str">
            <v/>
          </cell>
          <cell r="I896"/>
          <cell r="J896"/>
        </row>
        <row r="897">
          <cell r="D897" t="str">
            <v/>
          </cell>
          <cell r="E897" t="str">
            <v/>
          </cell>
          <cell r="F897" t="str">
            <v/>
          </cell>
          <cell r="I897"/>
          <cell r="J897"/>
        </row>
        <row r="898">
          <cell r="D898" t="str">
            <v/>
          </cell>
          <cell r="E898" t="str">
            <v/>
          </cell>
          <cell r="F898" t="str">
            <v/>
          </cell>
          <cell r="I898"/>
          <cell r="J898"/>
        </row>
        <row r="899">
          <cell r="D899" t="str">
            <v/>
          </cell>
          <cell r="E899" t="str">
            <v/>
          </cell>
          <cell r="F899" t="str">
            <v/>
          </cell>
          <cell r="I899"/>
          <cell r="J899"/>
        </row>
        <row r="900">
          <cell r="D900" t="str">
            <v/>
          </cell>
          <cell r="E900" t="str">
            <v/>
          </cell>
          <cell r="F900" t="str">
            <v/>
          </cell>
          <cell r="I900"/>
          <cell r="J900"/>
        </row>
        <row r="901">
          <cell r="D901" t="str">
            <v/>
          </cell>
          <cell r="E901" t="str">
            <v/>
          </cell>
          <cell r="F901" t="str">
            <v/>
          </cell>
          <cell r="I901"/>
          <cell r="J901"/>
        </row>
        <row r="902">
          <cell r="D902" t="str">
            <v/>
          </cell>
          <cell r="E902" t="str">
            <v/>
          </cell>
          <cell r="F902" t="str">
            <v/>
          </cell>
          <cell r="I902"/>
          <cell r="J902"/>
        </row>
        <row r="903">
          <cell r="D903" t="str">
            <v/>
          </cell>
          <cell r="E903" t="str">
            <v/>
          </cell>
          <cell r="F903" t="str">
            <v/>
          </cell>
          <cell r="I903"/>
          <cell r="J903"/>
        </row>
        <row r="904">
          <cell r="D904" t="str">
            <v/>
          </cell>
          <cell r="E904" t="str">
            <v/>
          </cell>
          <cell r="F904" t="str">
            <v/>
          </cell>
          <cell r="I904"/>
          <cell r="J904"/>
        </row>
        <row r="905">
          <cell r="D905" t="str">
            <v/>
          </cell>
          <cell r="E905" t="str">
            <v/>
          </cell>
          <cell r="F905" t="str">
            <v/>
          </cell>
          <cell r="I905"/>
          <cell r="J905"/>
        </row>
        <row r="906">
          <cell r="D906" t="str">
            <v/>
          </cell>
          <cell r="E906" t="str">
            <v/>
          </cell>
          <cell r="F906" t="str">
            <v/>
          </cell>
          <cell r="I906"/>
          <cell r="J906"/>
        </row>
        <row r="907">
          <cell r="D907" t="str">
            <v/>
          </cell>
          <cell r="E907" t="str">
            <v/>
          </cell>
          <cell r="F907" t="str">
            <v/>
          </cell>
          <cell r="I907"/>
          <cell r="J907"/>
        </row>
        <row r="908">
          <cell r="D908" t="str">
            <v/>
          </cell>
          <cell r="E908" t="str">
            <v/>
          </cell>
          <cell r="F908" t="str">
            <v/>
          </cell>
          <cell r="I908"/>
          <cell r="J908"/>
        </row>
        <row r="909">
          <cell r="D909" t="str">
            <v/>
          </cell>
          <cell r="E909" t="str">
            <v/>
          </cell>
          <cell r="F909" t="str">
            <v/>
          </cell>
          <cell r="I909"/>
          <cell r="J909"/>
        </row>
        <row r="910">
          <cell r="D910" t="str">
            <v/>
          </cell>
          <cell r="E910" t="str">
            <v/>
          </cell>
          <cell r="F910" t="str">
            <v/>
          </cell>
          <cell r="I910"/>
          <cell r="J910"/>
        </row>
        <row r="911">
          <cell r="D911" t="str">
            <v/>
          </cell>
          <cell r="E911" t="str">
            <v/>
          </cell>
          <cell r="F911" t="str">
            <v/>
          </cell>
          <cell r="I911"/>
          <cell r="J911"/>
        </row>
        <row r="912">
          <cell r="D912" t="str">
            <v/>
          </cell>
          <cell r="E912" t="str">
            <v/>
          </cell>
          <cell r="F912" t="str">
            <v/>
          </cell>
          <cell r="I912"/>
          <cell r="J912"/>
        </row>
        <row r="913">
          <cell r="D913" t="str">
            <v/>
          </cell>
          <cell r="E913" t="str">
            <v/>
          </cell>
          <cell r="F913" t="str">
            <v/>
          </cell>
          <cell r="I913"/>
          <cell r="J913"/>
        </row>
        <row r="914">
          <cell r="D914" t="str">
            <v/>
          </cell>
          <cell r="E914" t="str">
            <v/>
          </cell>
          <cell r="F914" t="str">
            <v/>
          </cell>
          <cell r="I914"/>
          <cell r="J914"/>
        </row>
        <row r="915">
          <cell r="D915" t="str">
            <v/>
          </cell>
          <cell r="E915" t="str">
            <v/>
          </cell>
          <cell r="F915" t="str">
            <v/>
          </cell>
          <cell r="I915"/>
          <cell r="J915"/>
        </row>
        <row r="916">
          <cell r="D916" t="str">
            <v/>
          </cell>
          <cell r="E916" t="str">
            <v/>
          </cell>
          <cell r="F916" t="str">
            <v/>
          </cell>
          <cell r="I916"/>
          <cell r="J916"/>
        </row>
        <row r="917">
          <cell r="D917" t="str">
            <v/>
          </cell>
          <cell r="E917" t="str">
            <v/>
          </cell>
          <cell r="F917" t="str">
            <v/>
          </cell>
          <cell r="I917"/>
          <cell r="J917"/>
        </row>
        <row r="918">
          <cell r="D918" t="str">
            <v/>
          </cell>
          <cell r="E918" t="str">
            <v/>
          </cell>
          <cell r="F918" t="str">
            <v/>
          </cell>
          <cell r="I918"/>
          <cell r="J918"/>
        </row>
        <row r="919">
          <cell r="D919" t="str">
            <v/>
          </cell>
          <cell r="E919" t="str">
            <v/>
          </cell>
          <cell r="F919" t="str">
            <v/>
          </cell>
          <cell r="I919"/>
          <cell r="J919"/>
        </row>
        <row r="920">
          <cell r="D920" t="str">
            <v/>
          </cell>
          <cell r="E920" t="str">
            <v/>
          </cell>
          <cell r="F920" t="str">
            <v/>
          </cell>
          <cell r="I920"/>
          <cell r="J920"/>
        </row>
        <row r="921">
          <cell r="D921" t="str">
            <v/>
          </cell>
          <cell r="E921" t="str">
            <v/>
          </cell>
          <cell r="F921" t="str">
            <v/>
          </cell>
          <cell r="I921"/>
          <cell r="J921"/>
        </row>
        <row r="922">
          <cell r="D922" t="str">
            <v/>
          </cell>
          <cell r="E922" t="str">
            <v/>
          </cell>
          <cell r="F922" t="str">
            <v/>
          </cell>
          <cell r="I922"/>
          <cell r="J922"/>
        </row>
        <row r="923">
          <cell r="D923" t="str">
            <v/>
          </cell>
          <cell r="E923" t="str">
            <v/>
          </cell>
          <cell r="F923" t="str">
            <v/>
          </cell>
          <cell r="I923"/>
          <cell r="J923"/>
        </row>
        <row r="924">
          <cell r="D924" t="str">
            <v/>
          </cell>
          <cell r="E924" t="str">
            <v/>
          </cell>
          <cell r="F924" t="str">
            <v/>
          </cell>
          <cell r="I924"/>
          <cell r="J924"/>
        </row>
        <row r="925">
          <cell r="D925" t="str">
            <v/>
          </cell>
          <cell r="E925" t="str">
            <v/>
          </cell>
          <cell r="F925" t="str">
            <v/>
          </cell>
          <cell r="I925"/>
          <cell r="J925"/>
        </row>
        <row r="926">
          <cell r="D926" t="str">
            <v/>
          </cell>
          <cell r="E926" t="str">
            <v/>
          </cell>
          <cell r="F926" t="str">
            <v/>
          </cell>
          <cell r="I926"/>
          <cell r="J926"/>
        </row>
        <row r="927">
          <cell r="D927" t="str">
            <v/>
          </cell>
          <cell r="E927" t="str">
            <v/>
          </cell>
          <cell r="F927" t="str">
            <v/>
          </cell>
          <cell r="I927"/>
          <cell r="J927"/>
        </row>
        <row r="928">
          <cell r="D928" t="str">
            <v/>
          </cell>
          <cell r="E928" t="str">
            <v/>
          </cell>
          <cell r="F928" t="str">
            <v/>
          </cell>
          <cell r="I928"/>
          <cell r="J928"/>
        </row>
        <row r="929">
          <cell r="D929" t="str">
            <v/>
          </cell>
          <cell r="E929" t="str">
            <v/>
          </cell>
          <cell r="F929" t="str">
            <v/>
          </cell>
          <cell r="I929"/>
          <cell r="J929"/>
        </row>
        <row r="930">
          <cell r="D930" t="str">
            <v/>
          </cell>
          <cell r="E930" t="str">
            <v/>
          </cell>
          <cell r="F930" t="str">
            <v/>
          </cell>
          <cell r="I930"/>
          <cell r="J930"/>
        </row>
        <row r="931">
          <cell r="D931" t="str">
            <v/>
          </cell>
          <cell r="E931" t="str">
            <v/>
          </cell>
          <cell r="F931" t="str">
            <v/>
          </cell>
          <cell r="I931"/>
          <cell r="J931"/>
        </row>
        <row r="932">
          <cell r="D932" t="str">
            <v/>
          </cell>
          <cell r="E932" t="str">
            <v/>
          </cell>
          <cell r="F932" t="str">
            <v/>
          </cell>
          <cell r="I932"/>
          <cell r="J932"/>
        </row>
        <row r="933">
          <cell r="D933" t="str">
            <v/>
          </cell>
          <cell r="E933" t="str">
            <v/>
          </cell>
          <cell r="F933" t="str">
            <v/>
          </cell>
          <cell r="I933"/>
          <cell r="J933"/>
        </row>
        <row r="934">
          <cell r="D934" t="str">
            <v/>
          </cell>
          <cell r="E934" t="str">
            <v/>
          </cell>
          <cell r="F934" t="str">
            <v/>
          </cell>
          <cell r="I934"/>
          <cell r="J934"/>
        </row>
        <row r="935">
          <cell r="D935" t="str">
            <v/>
          </cell>
          <cell r="E935" t="str">
            <v/>
          </cell>
          <cell r="F935" t="str">
            <v/>
          </cell>
          <cell r="I935"/>
          <cell r="J935"/>
        </row>
        <row r="936">
          <cell r="D936" t="str">
            <v/>
          </cell>
          <cell r="E936" t="str">
            <v/>
          </cell>
          <cell r="F936" t="str">
            <v/>
          </cell>
          <cell r="I936"/>
          <cell r="J936"/>
        </row>
        <row r="937">
          <cell r="D937" t="str">
            <v/>
          </cell>
          <cell r="E937" t="str">
            <v/>
          </cell>
          <cell r="F937" t="str">
            <v/>
          </cell>
          <cell r="I937"/>
          <cell r="J937"/>
        </row>
        <row r="938">
          <cell r="D938" t="str">
            <v/>
          </cell>
          <cell r="E938" t="str">
            <v/>
          </cell>
          <cell r="F938" t="str">
            <v/>
          </cell>
          <cell r="I938"/>
          <cell r="J938"/>
        </row>
        <row r="939">
          <cell r="D939" t="str">
            <v/>
          </cell>
          <cell r="E939" t="str">
            <v/>
          </cell>
          <cell r="F939" t="str">
            <v/>
          </cell>
          <cell r="I939"/>
          <cell r="J939"/>
        </row>
        <row r="940">
          <cell r="D940" t="str">
            <v/>
          </cell>
          <cell r="E940" t="str">
            <v/>
          </cell>
          <cell r="F940" t="str">
            <v/>
          </cell>
          <cell r="I940"/>
          <cell r="J940"/>
        </row>
        <row r="941">
          <cell r="D941" t="str">
            <v/>
          </cell>
          <cell r="E941" t="str">
            <v/>
          </cell>
          <cell r="F941" t="str">
            <v/>
          </cell>
          <cell r="I941"/>
          <cell r="J941"/>
        </row>
        <row r="942">
          <cell r="D942" t="str">
            <v/>
          </cell>
          <cell r="E942" t="str">
            <v/>
          </cell>
          <cell r="F942" t="str">
            <v/>
          </cell>
          <cell r="I942"/>
          <cell r="J942"/>
        </row>
        <row r="943">
          <cell r="D943" t="str">
            <v/>
          </cell>
          <cell r="E943" t="str">
            <v/>
          </cell>
          <cell r="F943" t="str">
            <v/>
          </cell>
          <cell r="I943"/>
          <cell r="J943"/>
        </row>
        <row r="944">
          <cell r="D944" t="str">
            <v/>
          </cell>
          <cell r="E944" t="str">
            <v/>
          </cell>
          <cell r="F944" t="str">
            <v/>
          </cell>
          <cell r="I944"/>
          <cell r="J944"/>
        </row>
        <row r="945">
          <cell r="D945" t="str">
            <v/>
          </cell>
          <cell r="E945" t="str">
            <v/>
          </cell>
          <cell r="F945" t="str">
            <v/>
          </cell>
          <cell r="I945"/>
          <cell r="J945"/>
        </row>
        <row r="946">
          <cell r="D946" t="str">
            <v/>
          </cell>
          <cell r="E946" t="str">
            <v/>
          </cell>
          <cell r="F946" t="str">
            <v/>
          </cell>
          <cell r="I946"/>
          <cell r="J946"/>
        </row>
        <row r="947">
          <cell r="D947" t="str">
            <v/>
          </cell>
          <cell r="E947" t="str">
            <v/>
          </cell>
          <cell r="F947" t="str">
            <v/>
          </cell>
          <cell r="I947"/>
          <cell r="J947"/>
        </row>
        <row r="948">
          <cell r="D948" t="str">
            <v/>
          </cell>
          <cell r="E948" t="str">
            <v/>
          </cell>
          <cell r="F948" t="str">
            <v/>
          </cell>
          <cell r="I948"/>
          <cell r="J948"/>
        </row>
        <row r="949">
          <cell r="D949" t="str">
            <v/>
          </cell>
          <cell r="E949" t="str">
            <v/>
          </cell>
          <cell r="F949" t="str">
            <v/>
          </cell>
          <cell r="I949"/>
          <cell r="J949"/>
        </row>
        <row r="950">
          <cell r="D950" t="str">
            <v/>
          </cell>
          <cell r="E950" t="str">
            <v/>
          </cell>
          <cell r="F950" t="str">
            <v/>
          </cell>
          <cell r="I950"/>
          <cell r="J950"/>
        </row>
        <row r="951">
          <cell r="D951" t="str">
            <v/>
          </cell>
          <cell r="E951" t="str">
            <v/>
          </cell>
          <cell r="F951" t="str">
            <v/>
          </cell>
          <cell r="I951"/>
          <cell r="J951"/>
        </row>
        <row r="952">
          <cell r="D952" t="str">
            <v/>
          </cell>
          <cell r="E952" t="str">
            <v/>
          </cell>
          <cell r="F952" t="str">
            <v/>
          </cell>
          <cell r="I952"/>
          <cell r="J952"/>
        </row>
        <row r="953">
          <cell r="D953" t="str">
            <v/>
          </cell>
          <cell r="E953" t="str">
            <v/>
          </cell>
          <cell r="F953" t="str">
            <v/>
          </cell>
          <cell r="I953"/>
          <cell r="J953"/>
        </row>
        <row r="954">
          <cell r="D954" t="str">
            <v/>
          </cell>
          <cell r="E954" t="str">
            <v/>
          </cell>
          <cell r="F954" t="str">
            <v/>
          </cell>
          <cell r="I954"/>
          <cell r="J954"/>
        </row>
        <row r="955">
          <cell r="D955" t="str">
            <v/>
          </cell>
          <cell r="E955" t="str">
            <v/>
          </cell>
          <cell r="F955" t="str">
            <v/>
          </cell>
          <cell r="I955"/>
          <cell r="J955"/>
        </row>
        <row r="956">
          <cell r="D956" t="str">
            <v/>
          </cell>
          <cell r="E956" t="str">
            <v/>
          </cell>
          <cell r="F956" t="str">
            <v/>
          </cell>
          <cell r="I956"/>
          <cell r="J956"/>
        </row>
        <row r="957">
          <cell r="D957" t="str">
            <v/>
          </cell>
          <cell r="E957" t="str">
            <v/>
          </cell>
          <cell r="F957" t="str">
            <v/>
          </cell>
          <cell r="I957"/>
          <cell r="J957"/>
        </row>
        <row r="958">
          <cell r="D958" t="str">
            <v/>
          </cell>
          <cell r="E958" t="str">
            <v/>
          </cell>
          <cell r="F958" t="str">
            <v/>
          </cell>
          <cell r="I958"/>
          <cell r="J958"/>
        </row>
        <row r="959">
          <cell r="D959" t="str">
            <v/>
          </cell>
          <cell r="E959" t="str">
            <v/>
          </cell>
          <cell r="F959" t="str">
            <v/>
          </cell>
          <cell r="I959"/>
          <cell r="J959"/>
        </row>
        <row r="960">
          <cell r="D960" t="str">
            <v/>
          </cell>
          <cell r="E960" t="str">
            <v/>
          </cell>
          <cell r="F960" t="str">
            <v/>
          </cell>
          <cell r="I960"/>
          <cell r="J960"/>
        </row>
        <row r="961">
          <cell r="D961" t="str">
            <v/>
          </cell>
          <cell r="E961" t="str">
            <v/>
          </cell>
          <cell r="F961" t="str">
            <v/>
          </cell>
          <cell r="I961"/>
          <cell r="J961"/>
        </row>
        <row r="962">
          <cell r="D962" t="str">
            <v/>
          </cell>
          <cell r="E962" t="str">
            <v/>
          </cell>
          <cell r="F962" t="str">
            <v/>
          </cell>
          <cell r="I962"/>
          <cell r="J962"/>
        </row>
        <row r="963">
          <cell r="D963" t="str">
            <v/>
          </cell>
          <cell r="E963" t="str">
            <v/>
          </cell>
          <cell r="F963" t="str">
            <v/>
          </cell>
          <cell r="I963"/>
          <cell r="J963"/>
        </row>
        <row r="964">
          <cell r="D964" t="str">
            <v/>
          </cell>
          <cell r="E964" t="str">
            <v/>
          </cell>
          <cell r="F964" t="str">
            <v/>
          </cell>
          <cell r="I964"/>
          <cell r="J964"/>
        </row>
        <row r="965">
          <cell r="D965" t="str">
            <v/>
          </cell>
          <cell r="E965" t="str">
            <v/>
          </cell>
          <cell r="F965" t="str">
            <v/>
          </cell>
          <cell r="I965"/>
          <cell r="J965"/>
        </row>
        <row r="966">
          <cell r="D966" t="str">
            <v/>
          </cell>
          <cell r="E966" t="str">
            <v/>
          </cell>
          <cell r="F966" t="str">
            <v/>
          </cell>
          <cell r="I966"/>
          <cell r="J966"/>
        </row>
        <row r="967">
          <cell r="D967" t="str">
            <v/>
          </cell>
          <cell r="E967" t="str">
            <v/>
          </cell>
          <cell r="F967" t="str">
            <v/>
          </cell>
          <cell r="I967"/>
          <cell r="J967"/>
        </row>
        <row r="968">
          <cell r="D968" t="str">
            <v/>
          </cell>
          <cell r="E968" t="str">
            <v/>
          </cell>
          <cell r="F968" t="str">
            <v/>
          </cell>
          <cell r="I968"/>
          <cell r="J968"/>
        </row>
        <row r="969">
          <cell r="D969" t="str">
            <v/>
          </cell>
          <cell r="E969" t="str">
            <v/>
          </cell>
          <cell r="F969" t="str">
            <v/>
          </cell>
          <cell r="I969"/>
          <cell r="J969"/>
        </row>
        <row r="970">
          <cell r="D970" t="str">
            <v/>
          </cell>
          <cell r="E970" t="str">
            <v/>
          </cell>
          <cell r="F970" t="str">
            <v/>
          </cell>
          <cell r="I970"/>
          <cell r="J970"/>
        </row>
        <row r="971">
          <cell r="D971" t="str">
            <v/>
          </cell>
          <cell r="E971" t="str">
            <v/>
          </cell>
          <cell r="F971" t="str">
            <v/>
          </cell>
          <cell r="I971"/>
          <cell r="J971"/>
        </row>
        <row r="972">
          <cell r="D972" t="str">
            <v/>
          </cell>
          <cell r="E972" t="str">
            <v/>
          </cell>
          <cell r="F972" t="str">
            <v/>
          </cell>
          <cell r="I972"/>
          <cell r="J972"/>
        </row>
        <row r="973">
          <cell r="D973" t="str">
            <v/>
          </cell>
          <cell r="E973" t="str">
            <v/>
          </cell>
          <cell r="F973" t="str">
            <v/>
          </cell>
          <cell r="I973"/>
          <cell r="J973"/>
        </row>
        <row r="974">
          <cell r="D974" t="str">
            <v/>
          </cell>
          <cell r="E974" t="str">
            <v/>
          </cell>
          <cell r="F974" t="str">
            <v/>
          </cell>
          <cell r="I974"/>
          <cell r="J974"/>
        </row>
        <row r="975">
          <cell r="D975" t="str">
            <v/>
          </cell>
          <cell r="E975" t="str">
            <v/>
          </cell>
          <cell r="F975" t="str">
            <v/>
          </cell>
          <cell r="I975"/>
          <cell r="J975"/>
        </row>
        <row r="976">
          <cell r="D976" t="str">
            <v/>
          </cell>
          <cell r="E976" t="str">
            <v/>
          </cell>
          <cell r="F976" t="str">
            <v/>
          </cell>
          <cell r="I976"/>
          <cell r="J976"/>
        </row>
        <row r="977">
          <cell r="D977" t="str">
            <v/>
          </cell>
          <cell r="E977" t="str">
            <v/>
          </cell>
          <cell r="F977" t="str">
            <v/>
          </cell>
          <cell r="I977"/>
          <cell r="J977"/>
        </row>
        <row r="978">
          <cell r="D978" t="str">
            <v/>
          </cell>
          <cell r="E978" t="str">
            <v/>
          </cell>
          <cell r="F978" t="str">
            <v/>
          </cell>
          <cell r="I978"/>
          <cell r="J978"/>
        </row>
        <row r="979">
          <cell r="D979" t="str">
            <v/>
          </cell>
          <cell r="E979" t="str">
            <v/>
          </cell>
          <cell r="F979" t="str">
            <v/>
          </cell>
          <cell r="I979"/>
          <cell r="J979"/>
        </row>
        <row r="980">
          <cell r="D980" t="str">
            <v/>
          </cell>
          <cell r="E980" t="str">
            <v/>
          </cell>
          <cell r="F980" t="str">
            <v/>
          </cell>
          <cell r="I980"/>
          <cell r="J980"/>
        </row>
        <row r="981">
          <cell r="D981" t="str">
            <v/>
          </cell>
          <cell r="E981" t="str">
            <v/>
          </cell>
          <cell r="F981" t="str">
            <v/>
          </cell>
          <cell r="I981"/>
          <cell r="J981"/>
        </row>
        <row r="982">
          <cell r="D982" t="str">
            <v/>
          </cell>
          <cell r="E982" t="str">
            <v/>
          </cell>
          <cell r="F982" t="str">
            <v/>
          </cell>
          <cell r="I982"/>
          <cell r="J982"/>
        </row>
        <row r="983">
          <cell r="D983" t="str">
            <v/>
          </cell>
          <cell r="E983" t="str">
            <v/>
          </cell>
          <cell r="F983" t="str">
            <v/>
          </cell>
          <cell r="I983"/>
          <cell r="J983"/>
        </row>
        <row r="984">
          <cell r="D984" t="str">
            <v/>
          </cell>
          <cell r="E984" t="str">
            <v/>
          </cell>
          <cell r="F984" t="str">
            <v/>
          </cell>
          <cell r="I984"/>
          <cell r="J984"/>
        </row>
        <row r="985">
          <cell r="D985" t="str">
            <v/>
          </cell>
          <cell r="E985" t="str">
            <v/>
          </cell>
          <cell r="F985" t="str">
            <v/>
          </cell>
          <cell r="I985"/>
          <cell r="J985"/>
        </row>
        <row r="986">
          <cell r="D986" t="str">
            <v/>
          </cell>
          <cell r="E986" t="str">
            <v/>
          </cell>
          <cell r="F986" t="str">
            <v/>
          </cell>
          <cell r="I986"/>
          <cell r="J986"/>
        </row>
        <row r="987">
          <cell r="D987" t="str">
            <v/>
          </cell>
          <cell r="E987" t="str">
            <v/>
          </cell>
          <cell r="F987" t="str">
            <v/>
          </cell>
          <cell r="I987"/>
          <cell r="J987"/>
        </row>
        <row r="988">
          <cell r="D988" t="str">
            <v/>
          </cell>
          <cell r="E988" t="str">
            <v/>
          </cell>
          <cell r="F988" t="str">
            <v/>
          </cell>
          <cell r="I988"/>
          <cell r="J988"/>
        </row>
        <row r="989">
          <cell r="D989" t="str">
            <v/>
          </cell>
          <cell r="E989" t="str">
            <v/>
          </cell>
          <cell r="F989" t="str">
            <v/>
          </cell>
          <cell r="I989"/>
          <cell r="J989"/>
        </row>
        <row r="990">
          <cell r="D990" t="str">
            <v/>
          </cell>
          <cell r="E990" t="str">
            <v/>
          </cell>
          <cell r="F990" t="str">
            <v/>
          </cell>
          <cell r="I990"/>
          <cell r="J990"/>
        </row>
        <row r="991">
          <cell r="D991" t="str">
            <v/>
          </cell>
          <cell r="E991" t="str">
            <v/>
          </cell>
          <cell r="F991" t="str">
            <v/>
          </cell>
          <cell r="I991"/>
          <cell r="J991"/>
        </row>
        <row r="992">
          <cell r="D992" t="str">
            <v/>
          </cell>
          <cell r="E992" t="str">
            <v/>
          </cell>
          <cell r="F992" t="str">
            <v/>
          </cell>
          <cell r="I992"/>
          <cell r="J992"/>
        </row>
        <row r="993">
          <cell r="D993" t="str">
            <v/>
          </cell>
          <cell r="E993" t="str">
            <v/>
          </cell>
          <cell r="F993" t="str">
            <v/>
          </cell>
          <cell r="I993"/>
          <cell r="J993"/>
        </row>
        <row r="994">
          <cell r="D994" t="str">
            <v/>
          </cell>
          <cell r="E994" t="str">
            <v/>
          </cell>
          <cell r="F994" t="str">
            <v/>
          </cell>
          <cell r="I994"/>
          <cell r="J994"/>
        </row>
        <row r="995">
          <cell r="D995" t="str">
            <v/>
          </cell>
          <cell r="E995" t="str">
            <v/>
          </cell>
          <cell r="F995" t="str">
            <v/>
          </cell>
          <cell r="I995"/>
          <cell r="J995"/>
        </row>
        <row r="996">
          <cell r="D996" t="str">
            <v/>
          </cell>
          <cell r="E996" t="str">
            <v/>
          </cell>
          <cell r="F996" t="str">
            <v/>
          </cell>
          <cell r="I996"/>
          <cell r="J996"/>
        </row>
        <row r="997">
          <cell r="D997" t="str">
            <v/>
          </cell>
          <cell r="E997" t="str">
            <v/>
          </cell>
          <cell r="F997" t="str">
            <v/>
          </cell>
          <cell r="I997"/>
          <cell r="J997"/>
        </row>
        <row r="998">
          <cell r="D998" t="str">
            <v/>
          </cell>
          <cell r="E998" t="str">
            <v/>
          </cell>
          <cell r="F998" t="str">
            <v/>
          </cell>
          <cell r="I998"/>
          <cell r="J998"/>
        </row>
        <row r="999">
          <cell r="D999" t="str">
            <v/>
          </cell>
          <cell r="E999" t="str">
            <v/>
          </cell>
          <cell r="F999" t="str">
            <v/>
          </cell>
          <cell r="I999"/>
          <cell r="J999"/>
        </row>
        <row r="1000">
          <cell r="D1000" t="str">
            <v/>
          </cell>
          <cell r="E1000" t="str">
            <v/>
          </cell>
          <cell r="F1000" t="str">
            <v/>
          </cell>
          <cell r="I1000"/>
          <cell r="J1000"/>
        </row>
      </sheetData>
      <sheetData sheetId="3">
        <row r="4">
          <cell r="I4"/>
        </row>
      </sheetData>
      <sheetData sheetId="4"/>
      <sheetData sheetId="5"/>
      <sheetData sheetId="6">
        <row r="4">
          <cell r="H4">
            <v>2</v>
          </cell>
        </row>
      </sheetData>
      <sheetData sheetId="7">
        <row r="4">
          <cell r="H4">
            <v>2</v>
          </cell>
        </row>
      </sheetData>
      <sheetData sheetId="8">
        <row r="4">
          <cell r="H4">
            <v>1</v>
          </cell>
        </row>
      </sheetData>
      <sheetData sheetId="9">
        <row r="4">
          <cell r="H4">
            <v>1</v>
          </cell>
        </row>
      </sheetData>
      <sheetData sheetId="10"/>
      <sheetData sheetId="11">
        <row r="4">
          <cell r="H4" t="str">
            <v>513</v>
          </cell>
        </row>
      </sheetData>
      <sheetData sheetId="12"/>
      <sheetData sheetId="13">
        <row r="1">
          <cell r="A1" t="str">
            <v>1052.LF.CC.0 TURBOCHARGER</v>
          </cell>
          <cell r="B1" t="str">
            <v>YES</v>
          </cell>
          <cell r="M1" t="str">
            <v>TASK</v>
          </cell>
          <cell r="N1" t="str">
            <v>DT150-01</v>
          </cell>
          <cell r="O1" t="str">
            <v>DT150-02</v>
          </cell>
          <cell r="P1" t="str">
            <v>DT150-03</v>
          </cell>
          <cell r="Q1" t="str">
            <v>DT150-04</v>
          </cell>
          <cell r="R1" t="str">
            <v>DT150-05</v>
          </cell>
          <cell r="S1" t="str">
            <v>DT150-06</v>
          </cell>
          <cell r="T1" t="str">
            <v>DT150-07</v>
          </cell>
          <cell r="U1" t="str">
            <v>DT150-08</v>
          </cell>
          <cell r="V1" t="str">
            <v>DT150-09</v>
          </cell>
          <cell r="W1" t="str">
            <v>DT150-10</v>
          </cell>
          <cell r="X1" t="str">
            <v>DT150-11</v>
          </cell>
          <cell r="Y1" t="str">
            <v>DT150-12</v>
          </cell>
          <cell r="Z1" t="str">
            <v>DT150-13</v>
          </cell>
          <cell r="AA1" t="str">
            <v>DT150-14</v>
          </cell>
          <cell r="AB1" t="str">
            <v>DT150-TU01</v>
          </cell>
          <cell r="AC1" t="str">
            <v>DT150-TU02</v>
          </cell>
          <cell r="AD1" t="str">
            <v>DT180-01</v>
          </cell>
          <cell r="AE1" t="str">
            <v>DT180-02</v>
          </cell>
          <cell r="AF1" t="str">
            <v>DT180-03</v>
          </cell>
          <cell r="AG1" t="str">
            <v>DT180-04</v>
          </cell>
          <cell r="AH1" t="str">
            <v>DT180-05</v>
          </cell>
          <cell r="AI1" t="str">
            <v>DT180-06</v>
          </cell>
          <cell r="AJ1" t="str">
            <v>DT180-07</v>
          </cell>
          <cell r="AK1" t="str">
            <v>DT180-08</v>
          </cell>
          <cell r="AL1" t="str">
            <v>DT180-09</v>
          </cell>
          <cell r="AM1" t="str">
            <v>DT180-10</v>
          </cell>
          <cell r="ED1" t="str">
            <v>List Unit</v>
          </cell>
          <cell r="EJ1" t="str">
            <v>DT150-01</v>
          </cell>
          <cell r="EK1" t="str">
            <v>DT150-01</v>
          </cell>
          <cell r="EL1" t="str">
            <v>Units</v>
          </cell>
          <cell r="EM1" t="str">
            <v>Family</v>
          </cell>
          <cell r="EN1" t="str">
            <v>Model</v>
          </cell>
        </row>
        <row r="2">
          <cell r="A2" t="str">
            <v>1052.LR.CC.0 TURBOCHARGER</v>
          </cell>
          <cell r="B2" t="str">
            <v>YES</v>
          </cell>
          <cell r="M2" t="str">
            <v>1052.LF.CC.0 TURBOCHARGER</v>
          </cell>
          <cell r="N2"/>
          <cell r="O2"/>
          <cell r="P2"/>
          <cell r="Q2"/>
          <cell r="R2"/>
          <cell r="S2"/>
          <cell r="T2"/>
          <cell r="U2"/>
          <cell r="V2"/>
          <cell r="W2"/>
          <cell r="X2"/>
          <cell r="Y2"/>
          <cell r="Z2"/>
          <cell r="AA2"/>
          <cell r="AB2"/>
          <cell r="AC2"/>
          <cell r="AD2"/>
          <cell r="AE2"/>
          <cell r="AF2"/>
          <cell r="AG2"/>
          <cell r="AH2"/>
          <cell r="AI2"/>
          <cell r="AJ2"/>
          <cell r="AK2"/>
          <cell r="AL2"/>
          <cell r="AM2"/>
          <cell r="AN2"/>
          <cell r="AO2"/>
          <cell r="AP2"/>
          <cell r="AQ2"/>
          <cell r="AR2"/>
          <cell r="AS2"/>
          <cell r="AT2"/>
          <cell r="AU2"/>
          <cell r="AV2"/>
          <cell r="AW2"/>
          <cell r="AX2"/>
          <cell r="AY2"/>
          <cell r="AZ2"/>
          <cell r="BA2"/>
          <cell r="BB2"/>
          <cell r="BC2"/>
          <cell r="BD2"/>
          <cell r="BE2"/>
          <cell r="BF2"/>
          <cell r="BG2"/>
          <cell r="BH2"/>
          <cell r="BI2"/>
          <cell r="BJ2"/>
          <cell r="BK2"/>
          <cell r="BL2"/>
          <cell r="BM2"/>
          <cell r="BN2"/>
          <cell r="BO2"/>
          <cell r="BP2"/>
          <cell r="BQ2"/>
          <cell r="BR2"/>
          <cell r="BS2"/>
          <cell r="BT2"/>
          <cell r="BU2"/>
          <cell r="BV2"/>
          <cell r="BW2"/>
          <cell r="BX2"/>
          <cell r="BY2"/>
          <cell r="BZ2"/>
          <cell r="CA2"/>
          <cell r="CB2"/>
          <cell r="CC2"/>
          <cell r="CD2"/>
          <cell r="CE2"/>
          <cell r="CF2"/>
          <cell r="CG2"/>
          <cell r="CH2"/>
          <cell r="CI2"/>
          <cell r="CJ2"/>
          <cell r="CK2"/>
          <cell r="CL2"/>
          <cell r="CM2"/>
          <cell r="CN2"/>
          <cell r="CO2"/>
          <cell r="CP2"/>
          <cell r="CQ2"/>
          <cell r="CR2"/>
          <cell r="CS2"/>
          <cell r="CT2"/>
          <cell r="CU2"/>
          <cell r="CV2"/>
          <cell r="CW2"/>
          <cell r="CX2"/>
          <cell r="CY2"/>
          <cell r="CZ2"/>
          <cell r="DA2"/>
          <cell r="DB2"/>
          <cell r="DC2"/>
          <cell r="DD2"/>
          <cell r="DE2"/>
          <cell r="DF2"/>
          <cell r="DG2"/>
          <cell r="DH2"/>
          <cell r="DI2"/>
          <cell r="DJ2"/>
          <cell r="DK2"/>
          <cell r="DL2"/>
          <cell r="DM2"/>
          <cell r="DN2"/>
          <cell r="DO2"/>
          <cell r="DP2"/>
          <cell r="DQ2"/>
          <cell r="DR2"/>
          <cell r="DS2"/>
          <cell r="DT2"/>
          <cell r="DU2"/>
          <cell r="DV2"/>
          <cell r="DW2"/>
          <cell r="DX2"/>
          <cell r="ED2"/>
          <cell r="EJ2" t="str">
            <v>DT150-02</v>
          </cell>
          <cell r="EK2" t="str">
            <v>DT150-02</v>
          </cell>
          <cell r="EL2" t="str">
            <v>DT150-01</v>
          </cell>
          <cell r="EM2" t="str">
            <v>Truck</v>
          </cell>
          <cell r="EN2" t="str">
            <v>785C-APX</v>
          </cell>
          <cell r="ES2" t="str">
            <v>785C-APX1000.00.CC.1RB ENGINE</v>
          </cell>
          <cell r="ET2" t="str">
            <v>785C-APX</v>
          </cell>
          <cell r="EV2" t="str">
            <v>1000.00.CC.1RB ENGINE</v>
          </cell>
          <cell r="EW2">
            <v>134518.8665</v>
          </cell>
          <cell r="EX2">
            <v>5850</v>
          </cell>
        </row>
        <row r="3">
          <cell r="A3" t="str">
            <v>1052.LT.CC.0 TURBOCHARGER</v>
          </cell>
          <cell r="B3" t="str">
            <v>YES</v>
          </cell>
          <cell r="M3" t="str">
            <v>1052.LR.CC.0 TURBOCHARGER</v>
          </cell>
          <cell r="N3"/>
          <cell r="O3"/>
          <cell r="P3"/>
          <cell r="Q3"/>
          <cell r="R3"/>
          <cell r="S3"/>
          <cell r="T3"/>
          <cell r="U3"/>
          <cell r="V3"/>
          <cell r="W3"/>
          <cell r="X3"/>
          <cell r="Y3"/>
          <cell r="Z3"/>
          <cell r="AA3"/>
          <cell r="AB3"/>
          <cell r="AC3"/>
          <cell r="AD3"/>
          <cell r="AE3"/>
          <cell r="AF3"/>
          <cell r="AG3"/>
          <cell r="AH3"/>
          <cell r="AI3"/>
          <cell r="AJ3"/>
          <cell r="AK3"/>
          <cell r="AL3"/>
          <cell r="AM3"/>
          <cell r="AN3"/>
          <cell r="AO3"/>
          <cell r="AP3"/>
          <cell r="AQ3"/>
          <cell r="AR3"/>
          <cell r="AS3"/>
          <cell r="AT3"/>
          <cell r="AU3"/>
          <cell r="AV3"/>
          <cell r="AW3"/>
          <cell r="AX3"/>
          <cell r="AY3"/>
          <cell r="AZ3"/>
          <cell r="BA3"/>
          <cell r="BB3"/>
          <cell r="BC3"/>
          <cell r="BD3"/>
          <cell r="BE3"/>
          <cell r="BF3"/>
          <cell r="BG3"/>
          <cell r="BH3"/>
          <cell r="BI3"/>
          <cell r="BJ3"/>
          <cell r="BK3"/>
          <cell r="BL3"/>
          <cell r="BM3"/>
          <cell r="BN3"/>
          <cell r="BO3"/>
          <cell r="BP3"/>
          <cell r="BQ3"/>
          <cell r="BR3"/>
          <cell r="BS3"/>
          <cell r="BT3"/>
          <cell r="BU3"/>
          <cell r="BV3"/>
          <cell r="BW3"/>
          <cell r="BX3"/>
          <cell r="BY3"/>
          <cell r="BZ3"/>
          <cell r="CA3"/>
          <cell r="CB3"/>
          <cell r="CC3"/>
          <cell r="CD3"/>
          <cell r="CE3"/>
          <cell r="CF3"/>
          <cell r="CG3"/>
          <cell r="CH3"/>
          <cell r="CI3"/>
          <cell r="CJ3"/>
          <cell r="CK3"/>
          <cell r="CL3"/>
          <cell r="CM3"/>
          <cell r="CN3"/>
          <cell r="CO3"/>
          <cell r="CP3"/>
          <cell r="CQ3"/>
          <cell r="CR3"/>
          <cell r="CS3"/>
          <cell r="CT3"/>
          <cell r="CU3"/>
          <cell r="CV3"/>
          <cell r="CW3"/>
          <cell r="CX3"/>
          <cell r="CY3"/>
          <cell r="CZ3"/>
          <cell r="DA3"/>
          <cell r="DB3"/>
          <cell r="DC3"/>
          <cell r="DD3"/>
          <cell r="DE3"/>
          <cell r="DF3"/>
          <cell r="DG3"/>
          <cell r="DH3"/>
          <cell r="DI3"/>
          <cell r="DJ3"/>
          <cell r="DK3"/>
          <cell r="DL3"/>
          <cell r="DM3"/>
          <cell r="DN3"/>
          <cell r="DO3"/>
          <cell r="DP3"/>
          <cell r="DQ3"/>
          <cell r="DR3"/>
          <cell r="DS3"/>
          <cell r="DT3"/>
          <cell r="DU3"/>
          <cell r="DV3"/>
          <cell r="DW3"/>
          <cell r="DX3"/>
          <cell r="ED3"/>
          <cell r="EJ3" t="str">
            <v>DT150-03</v>
          </cell>
          <cell r="EK3" t="str">
            <v>DT150-03</v>
          </cell>
          <cell r="EL3" t="str">
            <v>DT150-02</v>
          </cell>
          <cell r="EM3" t="str">
            <v>Truck</v>
          </cell>
          <cell r="EN3" t="str">
            <v>785C-APX</v>
          </cell>
          <cell r="ES3" t="str">
            <v>785C-APX1000.00.CC.2RB ENGINE</v>
          </cell>
          <cell r="ET3" t="str">
            <v>785C-APX</v>
          </cell>
          <cell r="EV3" t="str">
            <v>1000.00.CC.2RB ENGINE</v>
          </cell>
          <cell r="EW3">
            <v>162889.30650000001</v>
          </cell>
          <cell r="EX3">
            <v>5850</v>
          </cell>
        </row>
        <row r="4">
          <cell r="A4" t="str">
            <v>1052.RF.CC.0 TURBOCHARGER</v>
          </cell>
          <cell r="B4" t="str">
            <v>YES</v>
          </cell>
          <cell r="M4" t="str">
            <v>1052.LT.CC.0 TURBOCHARGER</v>
          </cell>
          <cell r="N4"/>
          <cell r="O4"/>
          <cell r="P4"/>
          <cell r="Q4"/>
          <cell r="R4"/>
          <cell r="S4"/>
          <cell r="T4"/>
          <cell r="U4"/>
          <cell r="V4"/>
          <cell r="W4"/>
          <cell r="X4"/>
          <cell r="Y4"/>
          <cell r="Z4"/>
          <cell r="AA4"/>
          <cell r="AB4"/>
          <cell r="AC4"/>
          <cell r="AD4"/>
          <cell r="AE4"/>
          <cell r="AF4"/>
          <cell r="AG4"/>
          <cell r="AH4"/>
          <cell r="AI4"/>
          <cell r="AJ4"/>
          <cell r="AK4"/>
          <cell r="AL4"/>
          <cell r="AM4"/>
          <cell r="AN4"/>
          <cell r="AO4"/>
          <cell r="AP4"/>
          <cell r="AQ4"/>
          <cell r="AR4"/>
          <cell r="AS4"/>
          <cell r="AT4"/>
          <cell r="AU4"/>
          <cell r="AV4"/>
          <cell r="AW4"/>
          <cell r="AX4"/>
          <cell r="AY4"/>
          <cell r="AZ4"/>
          <cell r="BA4"/>
          <cell r="BB4"/>
          <cell r="BC4"/>
          <cell r="BD4"/>
          <cell r="BE4"/>
          <cell r="BF4"/>
          <cell r="BG4"/>
          <cell r="BH4"/>
          <cell r="BI4"/>
          <cell r="BJ4"/>
          <cell r="BK4"/>
          <cell r="BL4"/>
          <cell r="BM4"/>
          <cell r="BN4"/>
          <cell r="BO4"/>
          <cell r="BP4"/>
          <cell r="BQ4"/>
          <cell r="BR4"/>
          <cell r="BS4"/>
          <cell r="BT4"/>
          <cell r="BU4"/>
          <cell r="BV4"/>
          <cell r="BW4"/>
          <cell r="BX4"/>
          <cell r="BY4"/>
          <cell r="BZ4"/>
          <cell r="CA4"/>
          <cell r="CB4"/>
          <cell r="CC4"/>
          <cell r="CD4"/>
          <cell r="CE4"/>
          <cell r="CF4"/>
          <cell r="CG4"/>
          <cell r="CH4"/>
          <cell r="CI4"/>
          <cell r="CJ4"/>
          <cell r="CK4"/>
          <cell r="CL4"/>
          <cell r="CM4"/>
          <cell r="CN4"/>
          <cell r="CO4"/>
          <cell r="CP4"/>
          <cell r="CQ4"/>
          <cell r="CR4"/>
          <cell r="CS4"/>
          <cell r="CT4"/>
          <cell r="CU4"/>
          <cell r="CV4"/>
          <cell r="CW4"/>
          <cell r="CX4"/>
          <cell r="CY4"/>
          <cell r="CZ4"/>
          <cell r="DA4"/>
          <cell r="DB4"/>
          <cell r="DC4"/>
          <cell r="DD4"/>
          <cell r="DE4"/>
          <cell r="DF4"/>
          <cell r="DG4"/>
          <cell r="DH4"/>
          <cell r="DI4"/>
          <cell r="DJ4"/>
          <cell r="DK4"/>
          <cell r="DL4"/>
          <cell r="DM4"/>
          <cell r="DN4"/>
          <cell r="DO4"/>
          <cell r="DP4"/>
          <cell r="DQ4"/>
          <cell r="DR4"/>
          <cell r="DS4"/>
          <cell r="DT4"/>
          <cell r="DU4"/>
          <cell r="DV4"/>
          <cell r="DW4"/>
          <cell r="DX4"/>
          <cell r="ED4"/>
          <cell r="EJ4" t="str">
            <v>DT150-04</v>
          </cell>
          <cell r="EK4" t="str">
            <v>DT150-04</v>
          </cell>
          <cell r="EL4" t="str">
            <v>DT150-03</v>
          </cell>
          <cell r="EM4" t="str">
            <v>Truck</v>
          </cell>
          <cell r="EN4" t="str">
            <v>785C-APX</v>
          </cell>
          <cell r="ES4" t="str">
            <v>785C-APX1000.00.IN.0 ENGINE</v>
          </cell>
          <cell r="ET4" t="str">
            <v>785C-APX</v>
          </cell>
          <cell r="EV4" t="str">
            <v>1000.00.IN.0 ENGINE</v>
          </cell>
          <cell r="EW4">
            <v>0</v>
          </cell>
          <cell r="EX4">
            <v>165</v>
          </cell>
        </row>
        <row r="5">
          <cell r="A5" t="str">
            <v>1052.RI.CC.0 TURBOCHARGER</v>
          </cell>
          <cell r="B5" t="str">
            <v>YES</v>
          </cell>
          <cell r="M5" t="str">
            <v>1052.RF.CC.0 TURBOCHARGER</v>
          </cell>
          <cell r="N5"/>
          <cell r="O5"/>
          <cell r="P5"/>
          <cell r="Q5"/>
          <cell r="R5"/>
          <cell r="S5"/>
          <cell r="T5"/>
          <cell r="U5"/>
          <cell r="V5"/>
          <cell r="W5"/>
          <cell r="X5"/>
          <cell r="Y5"/>
          <cell r="Z5"/>
          <cell r="AA5"/>
          <cell r="AB5"/>
          <cell r="AC5"/>
          <cell r="AD5"/>
          <cell r="AE5"/>
          <cell r="AF5"/>
          <cell r="AG5"/>
          <cell r="AH5"/>
          <cell r="AI5"/>
          <cell r="AJ5"/>
          <cell r="AK5"/>
          <cell r="AL5"/>
          <cell r="AM5"/>
          <cell r="AN5"/>
          <cell r="AO5"/>
          <cell r="AP5"/>
          <cell r="AQ5"/>
          <cell r="AR5"/>
          <cell r="AS5"/>
          <cell r="AT5"/>
          <cell r="AU5"/>
          <cell r="AV5"/>
          <cell r="AW5"/>
          <cell r="AX5"/>
          <cell r="AY5"/>
          <cell r="AZ5"/>
          <cell r="BA5"/>
          <cell r="BB5"/>
          <cell r="BC5"/>
          <cell r="BD5"/>
          <cell r="BE5"/>
          <cell r="BF5"/>
          <cell r="BG5"/>
          <cell r="BH5"/>
          <cell r="BI5"/>
          <cell r="BJ5"/>
          <cell r="BK5"/>
          <cell r="BL5"/>
          <cell r="BM5"/>
          <cell r="BN5"/>
          <cell r="BO5"/>
          <cell r="BP5"/>
          <cell r="BQ5"/>
          <cell r="BR5"/>
          <cell r="BS5"/>
          <cell r="BT5"/>
          <cell r="BU5"/>
          <cell r="BV5"/>
          <cell r="BW5"/>
          <cell r="BX5"/>
          <cell r="BY5"/>
          <cell r="BZ5"/>
          <cell r="CA5"/>
          <cell r="CB5"/>
          <cell r="CC5"/>
          <cell r="CD5"/>
          <cell r="CE5"/>
          <cell r="CF5"/>
          <cell r="CG5"/>
          <cell r="CH5"/>
          <cell r="CI5"/>
          <cell r="CJ5"/>
          <cell r="CK5"/>
          <cell r="CL5"/>
          <cell r="CM5"/>
          <cell r="CN5"/>
          <cell r="CO5"/>
          <cell r="CP5"/>
          <cell r="CQ5"/>
          <cell r="CR5"/>
          <cell r="CS5"/>
          <cell r="CT5"/>
          <cell r="CU5"/>
          <cell r="CV5"/>
          <cell r="CW5"/>
          <cell r="CX5"/>
          <cell r="CY5"/>
          <cell r="CZ5"/>
          <cell r="DA5"/>
          <cell r="DB5"/>
          <cell r="DC5"/>
          <cell r="DD5"/>
          <cell r="DE5"/>
          <cell r="DF5"/>
          <cell r="DG5"/>
          <cell r="DH5"/>
          <cell r="DI5"/>
          <cell r="DJ5"/>
          <cell r="DK5"/>
          <cell r="DL5"/>
          <cell r="DM5"/>
          <cell r="DN5"/>
          <cell r="DO5"/>
          <cell r="DP5"/>
          <cell r="DQ5"/>
          <cell r="DR5"/>
          <cell r="DS5"/>
          <cell r="DT5"/>
          <cell r="DU5"/>
          <cell r="DV5"/>
          <cell r="DW5"/>
          <cell r="DX5"/>
          <cell r="ED5"/>
          <cell r="EJ5" t="str">
            <v>DT150-05</v>
          </cell>
          <cell r="EK5" t="str">
            <v>DT150-05</v>
          </cell>
          <cell r="EL5" t="str">
            <v>DT150-04</v>
          </cell>
          <cell r="EM5" t="str">
            <v>Truck</v>
          </cell>
          <cell r="EN5" t="str">
            <v>785C-APX</v>
          </cell>
          <cell r="ES5" t="str">
            <v>785C-APX1050.00.GR.0 AIR INDUCTION AND EXHAUST SYSTEM</v>
          </cell>
          <cell r="ET5" t="str">
            <v>785C-APX</v>
          </cell>
          <cell r="EV5" t="str">
            <v>1050.00.GR.0 AIR INDUCTION AND EXHAUST SYSTEM</v>
          </cell>
          <cell r="EW5">
            <v>582.92200000000003</v>
          </cell>
          <cell r="EX5">
            <v>780</v>
          </cell>
        </row>
        <row r="6">
          <cell r="A6" t="str">
            <v>1052.RR.CC.0 TURBOCHARGER</v>
          </cell>
          <cell r="B6" t="str">
            <v>YES</v>
          </cell>
          <cell r="M6" t="str">
            <v>1052.RI.CC.0 TURBOCHARGER</v>
          </cell>
          <cell r="N6"/>
          <cell r="O6"/>
          <cell r="P6"/>
          <cell r="Q6"/>
          <cell r="R6"/>
          <cell r="S6"/>
          <cell r="T6"/>
          <cell r="U6"/>
          <cell r="V6"/>
          <cell r="W6"/>
          <cell r="X6"/>
          <cell r="Y6"/>
          <cell r="Z6"/>
          <cell r="AA6"/>
          <cell r="AB6"/>
          <cell r="AC6"/>
          <cell r="AD6"/>
          <cell r="AE6"/>
          <cell r="AF6"/>
          <cell r="AG6"/>
          <cell r="AH6"/>
          <cell r="AI6"/>
          <cell r="AJ6"/>
          <cell r="AK6"/>
          <cell r="AL6"/>
          <cell r="AM6"/>
          <cell r="AN6"/>
          <cell r="AO6"/>
          <cell r="AP6"/>
          <cell r="AQ6"/>
          <cell r="AR6"/>
          <cell r="AS6"/>
          <cell r="AT6"/>
          <cell r="AU6"/>
          <cell r="AV6"/>
          <cell r="AW6"/>
          <cell r="AX6"/>
          <cell r="AY6"/>
          <cell r="AZ6"/>
          <cell r="BA6"/>
          <cell r="BB6"/>
          <cell r="BC6"/>
          <cell r="BD6"/>
          <cell r="BE6"/>
          <cell r="BF6"/>
          <cell r="BG6"/>
          <cell r="BH6"/>
          <cell r="BI6"/>
          <cell r="BJ6"/>
          <cell r="BK6"/>
          <cell r="BL6"/>
          <cell r="BM6"/>
          <cell r="BN6"/>
          <cell r="BO6"/>
          <cell r="BP6"/>
          <cell r="BQ6"/>
          <cell r="BR6"/>
          <cell r="BS6"/>
          <cell r="BT6"/>
          <cell r="BU6"/>
          <cell r="BV6"/>
          <cell r="BW6"/>
          <cell r="BX6"/>
          <cell r="BY6"/>
          <cell r="BZ6"/>
          <cell r="CA6"/>
          <cell r="CB6"/>
          <cell r="CC6"/>
          <cell r="CD6"/>
          <cell r="CE6"/>
          <cell r="CF6"/>
          <cell r="CG6"/>
          <cell r="CH6"/>
          <cell r="CI6"/>
          <cell r="CJ6"/>
          <cell r="CK6"/>
          <cell r="CL6"/>
          <cell r="CM6"/>
          <cell r="CN6"/>
          <cell r="CO6"/>
          <cell r="CP6"/>
          <cell r="CQ6"/>
          <cell r="CR6"/>
          <cell r="CS6"/>
          <cell r="CT6"/>
          <cell r="CU6"/>
          <cell r="CV6"/>
          <cell r="CW6"/>
          <cell r="CX6"/>
          <cell r="CY6"/>
          <cell r="CZ6"/>
          <cell r="DA6"/>
          <cell r="DB6"/>
          <cell r="DC6"/>
          <cell r="DD6"/>
          <cell r="DE6"/>
          <cell r="DF6"/>
          <cell r="DG6"/>
          <cell r="DH6"/>
          <cell r="DI6"/>
          <cell r="DJ6"/>
          <cell r="DK6"/>
          <cell r="DL6"/>
          <cell r="DM6"/>
          <cell r="DN6"/>
          <cell r="DO6"/>
          <cell r="DP6"/>
          <cell r="DQ6"/>
          <cell r="DR6"/>
          <cell r="DS6"/>
          <cell r="DT6"/>
          <cell r="DU6"/>
          <cell r="DV6"/>
          <cell r="DW6"/>
          <cell r="DX6"/>
          <cell r="ED6"/>
          <cell r="EJ6" t="str">
            <v>DT150-06</v>
          </cell>
          <cell r="EK6" t="str">
            <v>DT150-06</v>
          </cell>
          <cell r="EL6" t="str">
            <v>DT150-05</v>
          </cell>
          <cell r="EM6" t="str">
            <v>Truck</v>
          </cell>
          <cell r="EN6" t="str">
            <v>785C-APX</v>
          </cell>
          <cell r="ES6" t="str">
            <v>785C-APX1052.LT.CC.0 TURBOCHARGER</v>
          </cell>
          <cell r="ET6" t="str">
            <v>785C-APX</v>
          </cell>
          <cell r="EV6" t="str">
            <v>1052.LT.CC.0 TURBOCHARGER</v>
          </cell>
          <cell r="EW6">
            <v>6831.04</v>
          </cell>
          <cell r="EX6">
            <v>260</v>
          </cell>
        </row>
        <row r="7">
          <cell r="A7" t="str">
            <v>1054.PY.CC.0 AIR FILTER ELEMENT</v>
          </cell>
          <cell r="B7" t="str">
            <v>YES</v>
          </cell>
          <cell r="M7" t="str">
            <v>1052.RR.CC.0 TURBOCHARGER</v>
          </cell>
          <cell r="N7"/>
          <cell r="O7"/>
          <cell r="P7"/>
          <cell r="Q7"/>
          <cell r="R7"/>
          <cell r="S7"/>
          <cell r="T7"/>
          <cell r="U7"/>
          <cell r="V7"/>
          <cell r="W7"/>
          <cell r="X7"/>
          <cell r="Y7"/>
          <cell r="Z7"/>
          <cell r="AA7"/>
          <cell r="AB7"/>
          <cell r="AC7"/>
          <cell r="AD7"/>
          <cell r="AE7"/>
          <cell r="AF7"/>
          <cell r="AG7"/>
          <cell r="AH7"/>
          <cell r="AI7"/>
          <cell r="AJ7"/>
          <cell r="AK7"/>
          <cell r="AL7"/>
          <cell r="AM7"/>
          <cell r="AN7"/>
          <cell r="AO7"/>
          <cell r="AP7"/>
          <cell r="AQ7"/>
          <cell r="AR7"/>
          <cell r="AS7"/>
          <cell r="AT7"/>
          <cell r="AU7"/>
          <cell r="AV7"/>
          <cell r="AW7"/>
          <cell r="AX7"/>
          <cell r="AY7"/>
          <cell r="AZ7"/>
          <cell r="BA7"/>
          <cell r="BB7"/>
          <cell r="BC7"/>
          <cell r="BD7"/>
          <cell r="BE7"/>
          <cell r="BF7"/>
          <cell r="BG7"/>
          <cell r="BH7"/>
          <cell r="BI7"/>
          <cell r="BJ7"/>
          <cell r="BK7"/>
          <cell r="BL7"/>
          <cell r="BM7"/>
          <cell r="BN7"/>
          <cell r="BO7"/>
          <cell r="BP7"/>
          <cell r="BQ7"/>
          <cell r="BR7"/>
          <cell r="BS7"/>
          <cell r="BT7"/>
          <cell r="BU7"/>
          <cell r="BV7"/>
          <cell r="BW7"/>
          <cell r="BX7"/>
          <cell r="BY7"/>
          <cell r="BZ7"/>
          <cell r="CA7"/>
          <cell r="CB7"/>
          <cell r="CC7"/>
          <cell r="CD7"/>
          <cell r="CE7"/>
          <cell r="CF7"/>
          <cell r="CG7"/>
          <cell r="CH7"/>
          <cell r="CI7"/>
          <cell r="CJ7"/>
          <cell r="CK7"/>
          <cell r="CL7"/>
          <cell r="CM7"/>
          <cell r="CN7"/>
          <cell r="CO7"/>
          <cell r="CP7"/>
          <cell r="CQ7"/>
          <cell r="CR7"/>
          <cell r="CS7"/>
          <cell r="CT7"/>
          <cell r="CU7"/>
          <cell r="CV7"/>
          <cell r="CW7"/>
          <cell r="CX7"/>
          <cell r="CY7"/>
          <cell r="CZ7"/>
          <cell r="DA7"/>
          <cell r="DB7"/>
          <cell r="DC7"/>
          <cell r="DD7"/>
          <cell r="DE7"/>
          <cell r="DF7"/>
          <cell r="DG7"/>
          <cell r="DH7"/>
          <cell r="DI7"/>
          <cell r="DJ7"/>
          <cell r="DK7"/>
          <cell r="DL7"/>
          <cell r="DM7"/>
          <cell r="DN7"/>
          <cell r="DO7"/>
          <cell r="DP7"/>
          <cell r="DQ7"/>
          <cell r="DR7"/>
          <cell r="DS7"/>
          <cell r="DT7"/>
          <cell r="DU7"/>
          <cell r="DV7"/>
          <cell r="DW7"/>
          <cell r="DX7"/>
          <cell r="ED7"/>
          <cell r="EJ7" t="str">
            <v>DT150-07</v>
          </cell>
          <cell r="EK7" t="str">
            <v>DT150-07</v>
          </cell>
          <cell r="EL7" t="str">
            <v>DT150-06</v>
          </cell>
          <cell r="EM7" t="str">
            <v>Truck</v>
          </cell>
          <cell r="EN7" t="str">
            <v>785C-APX</v>
          </cell>
          <cell r="ES7" t="str">
            <v>785C-APX1052.RI.CC.0 TURBOCHARGER</v>
          </cell>
          <cell r="ET7" t="str">
            <v>785C-APX</v>
          </cell>
          <cell r="EV7" t="str">
            <v>1052.RI.CC.0 TURBOCHARGER</v>
          </cell>
          <cell r="EW7">
            <v>6831.04</v>
          </cell>
          <cell r="EX7">
            <v>260</v>
          </cell>
        </row>
        <row r="8">
          <cell r="A8" t="str">
            <v>1054.SE.CC.0 AIR FILTER ELEMENT</v>
          </cell>
          <cell r="B8" t="str">
            <v>YES</v>
          </cell>
          <cell r="M8" t="str">
            <v>1054.PY.CC.0 AIR FILTER ELEMENT</v>
          </cell>
          <cell r="N8"/>
          <cell r="O8"/>
          <cell r="P8"/>
          <cell r="Q8"/>
          <cell r="R8"/>
          <cell r="S8"/>
          <cell r="T8"/>
          <cell r="U8"/>
          <cell r="V8"/>
          <cell r="W8" t="str">
            <v>DT150-10</v>
          </cell>
          <cell r="X8"/>
          <cell r="Y8"/>
          <cell r="Z8"/>
          <cell r="AA8"/>
          <cell r="AB8"/>
          <cell r="AC8"/>
          <cell r="AD8"/>
          <cell r="AE8"/>
          <cell r="AF8"/>
          <cell r="AG8"/>
          <cell r="AH8"/>
          <cell r="AI8" t="str">
            <v>DT180-06</v>
          </cell>
          <cell r="AJ8"/>
          <cell r="AK8" t="str">
            <v>DT180-08</v>
          </cell>
          <cell r="AL8"/>
          <cell r="AM8"/>
          <cell r="AN8"/>
          <cell r="AO8"/>
          <cell r="AP8"/>
          <cell r="AQ8"/>
          <cell r="AR8"/>
          <cell r="AS8"/>
          <cell r="AT8"/>
          <cell r="AU8"/>
          <cell r="AV8"/>
          <cell r="AW8"/>
          <cell r="AX8"/>
          <cell r="AY8"/>
          <cell r="AZ8"/>
          <cell r="BA8"/>
          <cell r="BB8"/>
          <cell r="BC8"/>
          <cell r="BD8"/>
          <cell r="BE8"/>
          <cell r="BF8"/>
          <cell r="BG8"/>
          <cell r="BH8"/>
          <cell r="BI8"/>
          <cell r="BJ8"/>
          <cell r="BK8"/>
          <cell r="BL8"/>
          <cell r="BM8"/>
          <cell r="BN8"/>
          <cell r="BO8"/>
          <cell r="BP8"/>
          <cell r="BQ8"/>
          <cell r="BR8"/>
          <cell r="BS8"/>
          <cell r="BT8"/>
          <cell r="BU8"/>
          <cell r="BV8"/>
          <cell r="BW8"/>
          <cell r="BX8"/>
          <cell r="BY8"/>
          <cell r="BZ8"/>
          <cell r="CA8"/>
          <cell r="CB8"/>
          <cell r="CC8"/>
          <cell r="CD8"/>
          <cell r="CE8"/>
          <cell r="CF8"/>
          <cell r="CG8"/>
          <cell r="CH8"/>
          <cell r="CI8"/>
          <cell r="CJ8"/>
          <cell r="CK8"/>
          <cell r="CL8"/>
          <cell r="CM8"/>
          <cell r="CN8"/>
          <cell r="CO8"/>
          <cell r="CP8"/>
          <cell r="CQ8"/>
          <cell r="CR8"/>
          <cell r="CS8"/>
          <cell r="CT8"/>
          <cell r="CU8"/>
          <cell r="CV8"/>
          <cell r="CW8"/>
          <cell r="CX8"/>
          <cell r="CY8"/>
          <cell r="CZ8"/>
          <cell r="DA8"/>
          <cell r="DB8"/>
          <cell r="DC8"/>
          <cell r="DD8"/>
          <cell r="DE8"/>
          <cell r="DF8"/>
          <cell r="DG8"/>
          <cell r="DH8"/>
          <cell r="DI8"/>
          <cell r="DJ8"/>
          <cell r="DK8"/>
          <cell r="DL8"/>
          <cell r="DM8"/>
          <cell r="DN8"/>
          <cell r="DO8"/>
          <cell r="DP8"/>
          <cell r="DQ8"/>
          <cell r="DR8"/>
          <cell r="DS8"/>
          <cell r="DT8"/>
          <cell r="DU8"/>
          <cell r="DV8"/>
          <cell r="DW8"/>
          <cell r="DX8"/>
          <cell r="ED8" t="str">
            <v>DT150-10DT180-06DT180-08</v>
          </cell>
          <cell r="EJ8" t="str">
            <v>DT150-08</v>
          </cell>
          <cell r="EK8" t="str">
            <v>DT150-08</v>
          </cell>
          <cell r="EL8" t="str">
            <v>DT150-07</v>
          </cell>
          <cell r="EM8" t="str">
            <v>Truck</v>
          </cell>
          <cell r="EN8" t="str">
            <v>785C-APX</v>
          </cell>
          <cell r="ES8" t="str">
            <v>785C-APX1054.PY.CC.0 AIR FILTER ELEMENT</v>
          </cell>
          <cell r="ET8" t="str">
            <v>785C-APX</v>
          </cell>
          <cell r="EV8" t="str">
            <v>1054.PY.CC.0 AIR FILTER ELEMENT</v>
          </cell>
          <cell r="EW8">
            <v>490.66</v>
          </cell>
          <cell r="EX8">
            <v>65</v>
          </cell>
        </row>
        <row r="9">
          <cell r="A9" t="str">
            <v>1102.00.RM.0 ROCKER SHAFT ASSEMBLY</v>
          </cell>
          <cell r="B9" t="str">
            <v>YES</v>
          </cell>
          <cell r="M9" t="str">
            <v>1054.SE.CC.0 AIR FILTER ELEMENT</v>
          </cell>
          <cell r="N9"/>
          <cell r="O9"/>
          <cell r="P9"/>
          <cell r="Q9"/>
          <cell r="R9"/>
          <cell r="S9"/>
          <cell r="T9"/>
          <cell r="U9"/>
          <cell r="V9"/>
          <cell r="W9"/>
          <cell r="X9"/>
          <cell r="Y9"/>
          <cell r="Z9"/>
          <cell r="AA9"/>
          <cell r="AB9"/>
          <cell r="AC9"/>
          <cell r="AD9"/>
          <cell r="AE9"/>
          <cell r="AF9"/>
          <cell r="AG9"/>
          <cell r="AH9"/>
          <cell r="AI9"/>
          <cell r="AJ9"/>
          <cell r="AK9" t="str">
            <v>DT180-08</v>
          </cell>
          <cell r="AL9"/>
          <cell r="AM9"/>
          <cell r="AN9"/>
          <cell r="AO9"/>
          <cell r="AP9"/>
          <cell r="AQ9"/>
          <cell r="AR9"/>
          <cell r="AS9"/>
          <cell r="AT9"/>
          <cell r="AU9"/>
          <cell r="AV9"/>
          <cell r="AW9"/>
          <cell r="AX9"/>
          <cell r="AY9"/>
          <cell r="AZ9"/>
          <cell r="BA9"/>
          <cell r="BB9"/>
          <cell r="BC9"/>
          <cell r="BD9"/>
          <cell r="BE9"/>
          <cell r="BF9"/>
          <cell r="BG9"/>
          <cell r="BH9"/>
          <cell r="BI9"/>
          <cell r="BJ9"/>
          <cell r="BK9"/>
          <cell r="BL9"/>
          <cell r="BM9"/>
          <cell r="BN9"/>
          <cell r="BO9"/>
          <cell r="BP9"/>
          <cell r="BQ9"/>
          <cell r="BR9"/>
          <cell r="BS9"/>
          <cell r="BT9"/>
          <cell r="BU9"/>
          <cell r="BV9"/>
          <cell r="BW9"/>
          <cell r="BX9"/>
          <cell r="BY9"/>
          <cell r="BZ9"/>
          <cell r="CA9"/>
          <cell r="CB9"/>
          <cell r="CC9"/>
          <cell r="CD9"/>
          <cell r="CE9"/>
          <cell r="CF9"/>
          <cell r="CG9"/>
          <cell r="CH9"/>
          <cell r="CI9"/>
          <cell r="CJ9"/>
          <cell r="CK9"/>
          <cell r="CL9"/>
          <cell r="CM9"/>
          <cell r="CN9"/>
          <cell r="CO9"/>
          <cell r="CP9"/>
          <cell r="CQ9"/>
          <cell r="CR9"/>
          <cell r="CS9"/>
          <cell r="CT9"/>
          <cell r="CU9"/>
          <cell r="CV9"/>
          <cell r="CW9"/>
          <cell r="CX9"/>
          <cell r="CY9"/>
          <cell r="CZ9"/>
          <cell r="DA9"/>
          <cell r="DB9"/>
          <cell r="DC9"/>
          <cell r="DD9"/>
          <cell r="DE9"/>
          <cell r="DF9"/>
          <cell r="DG9"/>
          <cell r="DH9"/>
          <cell r="DI9"/>
          <cell r="DJ9"/>
          <cell r="DK9"/>
          <cell r="DL9"/>
          <cell r="DM9"/>
          <cell r="DN9"/>
          <cell r="DO9"/>
          <cell r="DP9"/>
          <cell r="DQ9"/>
          <cell r="DR9"/>
          <cell r="DS9"/>
          <cell r="DT9"/>
          <cell r="DU9"/>
          <cell r="DV9"/>
          <cell r="DW9"/>
          <cell r="DX9"/>
          <cell r="ED9" t="str">
            <v>DT180-08</v>
          </cell>
          <cell r="EJ9" t="str">
            <v>DT150-09</v>
          </cell>
          <cell r="EK9" t="str">
            <v>DT150-09</v>
          </cell>
          <cell r="EL9" t="str">
            <v>DT150-08</v>
          </cell>
          <cell r="EM9" t="str">
            <v>Truck</v>
          </cell>
          <cell r="EN9" t="str">
            <v>785C-APX</v>
          </cell>
          <cell r="ES9" t="str">
            <v>785C-APX1054.SE.CC.0 AIR FILTER ELEMENT</v>
          </cell>
          <cell r="ET9" t="str">
            <v>785C-APX</v>
          </cell>
          <cell r="EV9" t="str">
            <v>1054.SE.CC.0 AIR FILTER ELEMENT</v>
          </cell>
          <cell r="EW9">
            <v>268.38</v>
          </cell>
          <cell r="EX9">
            <v>65</v>
          </cell>
        </row>
        <row r="10">
          <cell r="A10" t="str">
            <v>1256.00.CC.0 FUEL TRANSFER PUMP</v>
          </cell>
          <cell r="B10" t="str">
            <v>YES</v>
          </cell>
          <cell r="M10" t="str">
            <v>1102.00.RM.0 ROCKER SHAFT ASSEMBLY</v>
          </cell>
          <cell r="N10"/>
          <cell r="O10"/>
          <cell r="P10"/>
          <cell r="Q10"/>
          <cell r="R10"/>
          <cell r="S10"/>
          <cell r="T10"/>
          <cell r="U10"/>
          <cell r="V10"/>
          <cell r="W10"/>
          <cell r="X10"/>
          <cell r="Y10"/>
          <cell r="Z10"/>
          <cell r="AA10"/>
          <cell r="AB10"/>
          <cell r="AC10"/>
          <cell r="AD10"/>
          <cell r="AE10"/>
          <cell r="AF10"/>
          <cell r="AG10"/>
          <cell r="AH10"/>
          <cell r="AI10" t="str">
            <v>DT180-06</v>
          </cell>
          <cell r="AJ10"/>
          <cell r="AK10"/>
          <cell r="AL10"/>
          <cell r="AM10"/>
          <cell r="AN10"/>
          <cell r="AO10"/>
          <cell r="AP10"/>
          <cell r="AQ10"/>
          <cell r="AR10"/>
          <cell r="AS10"/>
          <cell r="AT10"/>
          <cell r="AU10"/>
          <cell r="AV10"/>
          <cell r="AW10"/>
          <cell r="AX10"/>
          <cell r="AY10"/>
          <cell r="AZ10"/>
          <cell r="BA10"/>
          <cell r="BB10"/>
          <cell r="BC10"/>
          <cell r="BD10"/>
          <cell r="BE10"/>
          <cell r="BF10"/>
          <cell r="BG10"/>
          <cell r="BH10"/>
          <cell r="BI10"/>
          <cell r="BJ10"/>
          <cell r="BK10"/>
          <cell r="BL10"/>
          <cell r="BM10"/>
          <cell r="BN10"/>
          <cell r="BO10"/>
          <cell r="BP10"/>
          <cell r="BQ10"/>
          <cell r="BR10"/>
          <cell r="BS10"/>
          <cell r="BT10"/>
          <cell r="BU10"/>
          <cell r="BV10"/>
          <cell r="BW10"/>
          <cell r="BX10"/>
          <cell r="BY10"/>
          <cell r="BZ10"/>
          <cell r="CA10"/>
          <cell r="CB10"/>
          <cell r="CC10"/>
          <cell r="CD10"/>
          <cell r="CE10"/>
          <cell r="CF10"/>
          <cell r="CG10"/>
          <cell r="CH10"/>
          <cell r="CI10"/>
          <cell r="CJ10"/>
          <cell r="CK10"/>
          <cell r="CL10"/>
          <cell r="CM10"/>
          <cell r="CN10"/>
          <cell r="CO10"/>
          <cell r="CP10"/>
          <cell r="CQ10"/>
          <cell r="CR10"/>
          <cell r="CS10"/>
          <cell r="CT10"/>
          <cell r="CU10"/>
          <cell r="CV10"/>
          <cell r="CW10"/>
          <cell r="CX10"/>
          <cell r="CY10"/>
          <cell r="CZ10"/>
          <cell r="DA10"/>
          <cell r="DB10"/>
          <cell r="DC10"/>
          <cell r="DD10"/>
          <cell r="DE10"/>
          <cell r="DF10"/>
          <cell r="DG10"/>
          <cell r="DH10"/>
          <cell r="DI10"/>
          <cell r="DJ10"/>
          <cell r="DK10"/>
          <cell r="DL10"/>
          <cell r="DM10"/>
          <cell r="DN10"/>
          <cell r="DO10"/>
          <cell r="DP10"/>
          <cell r="DQ10"/>
          <cell r="DR10"/>
          <cell r="DS10"/>
          <cell r="DT10"/>
          <cell r="DU10"/>
          <cell r="DV10"/>
          <cell r="DW10"/>
          <cell r="DX10"/>
          <cell r="ED10" t="str">
            <v>DT180-06</v>
          </cell>
          <cell r="EJ10" t="str">
            <v>DT150-10</v>
          </cell>
          <cell r="EK10" t="str">
            <v>DT150-10</v>
          </cell>
          <cell r="EL10" t="str">
            <v>DT150-09</v>
          </cell>
          <cell r="EM10" t="str">
            <v>Truck</v>
          </cell>
          <cell r="EN10" t="str">
            <v>785C-APX</v>
          </cell>
          <cell r="ES10" t="str">
            <v>785C-APX1062.00.CC.0 MUFFLER</v>
          </cell>
          <cell r="ET10" t="str">
            <v>785C-APX</v>
          </cell>
          <cell r="EV10" t="str">
            <v>1062.00.CC.0 MUFFLER</v>
          </cell>
          <cell r="EW10">
            <v>5466.0249999999996</v>
          </cell>
          <cell r="EX10">
            <v>130</v>
          </cell>
        </row>
        <row r="11">
          <cell r="A11" t="str">
            <v>1355.00.CC.0 THERMOSTAT/WATER TEMPERATURE REGULATOR</v>
          </cell>
          <cell r="B11" t="str">
            <v>YES</v>
          </cell>
          <cell r="M11" t="str">
            <v>1256.00.CC.0 FUEL TRANSFER PUMP</v>
          </cell>
          <cell r="N11"/>
          <cell r="O11"/>
          <cell r="P11"/>
          <cell r="Q11"/>
          <cell r="R11"/>
          <cell r="S11"/>
          <cell r="T11"/>
          <cell r="U11"/>
          <cell r="V11"/>
          <cell r="W11"/>
          <cell r="X11"/>
          <cell r="Y11"/>
          <cell r="Z11"/>
          <cell r="AA11"/>
          <cell r="AB11"/>
          <cell r="AC11"/>
          <cell r="AD11"/>
          <cell r="AE11"/>
          <cell r="AF11"/>
          <cell r="AG11"/>
          <cell r="AH11"/>
          <cell r="AI11"/>
          <cell r="AJ11"/>
          <cell r="AK11"/>
          <cell r="AL11"/>
          <cell r="AM11"/>
          <cell r="AN11"/>
          <cell r="AO11"/>
          <cell r="AP11"/>
          <cell r="AQ11"/>
          <cell r="AR11"/>
          <cell r="AS11"/>
          <cell r="AT11"/>
          <cell r="AU11"/>
          <cell r="AV11"/>
          <cell r="AW11"/>
          <cell r="AX11"/>
          <cell r="AY11"/>
          <cell r="AZ11"/>
          <cell r="BA11"/>
          <cell r="BB11"/>
          <cell r="BC11"/>
          <cell r="BD11"/>
          <cell r="BE11"/>
          <cell r="BF11"/>
          <cell r="BG11"/>
          <cell r="BH11"/>
          <cell r="BI11"/>
          <cell r="BJ11"/>
          <cell r="BK11"/>
          <cell r="BL11"/>
          <cell r="BM11"/>
          <cell r="BN11"/>
          <cell r="BO11"/>
          <cell r="BP11"/>
          <cell r="BQ11"/>
          <cell r="BR11"/>
          <cell r="BS11"/>
          <cell r="BT11"/>
          <cell r="BU11"/>
          <cell r="BV11"/>
          <cell r="BW11"/>
          <cell r="BX11"/>
          <cell r="BY11"/>
          <cell r="BZ11"/>
          <cell r="CA11"/>
          <cell r="CB11"/>
          <cell r="CC11"/>
          <cell r="CD11"/>
          <cell r="CE11"/>
          <cell r="CF11"/>
          <cell r="CG11"/>
          <cell r="CH11"/>
          <cell r="CI11"/>
          <cell r="CJ11"/>
          <cell r="CK11"/>
          <cell r="CL11"/>
          <cell r="CM11"/>
          <cell r="CN11"/>
          <cell r="CO11"/>
          <cell r="CP11"/>
          <cell r="CQ11"/>
          <cell r="CR11"/>
          <cell r="CS11"/>
          <cell r="CT11"/>
          <cell r="CU11"/>
          <cell r="CV11"/>
          <cell r="CW11"/>
          <cell r="CX11"/>
          <cell r="CY11"/>
          <cell r="CZ11"/>
          <cell r="DA11"/>
          <cell r="DB11"/>
          <cell r="DC11"/>
          <cell r="DD11"/>
          <cell r="DE11"/>
          <cell r="DF11"/>
          <cell r="DG11"/>
          <cell r="DH11"/>
          <cell r="DI11"/>
          <cell r="DJ11"/>
          <cell r="DK11"/>
          <cell r="DL11"/>
          <cell r="DM11"/>
          <cell r="DN11"/>
          <cell r="DO11"/>
          <cell r="DP11"/>
          <cell r="DQ11"/>
          <cell r="DR11"/>
          <cell r="DS11"/>
          <cell r="DT11"/>
          <cell r="DU11"/>
          <cell r="DV11"/>
          <cell r="DW11"/>
          <cell r="DX11"/>
          <cell r="ED11"/>
          <cell r="EJ11" t="str">
            <v>DT150-11</v>
          </cell>
          <cell r="EK11" t="str">
            <v>DT150-11</v>
          </cell>
          <cell r="EL11" t="str">
            <v>DT150-10</v>
          </cell>
          <cell r="EM11" t="str">
            <v>Truck</v>
          </cell>
          <cell r="EN11" t="str">
            <v>785C-APX</v>
          </cell>
          <cell r="ES11" t="str">
            <v>785C-APX1102.00.RM.0 ROCKER SHAFT ASSEMBLY</v>
          </cell>
          <cell r="ET11" t="str">
            <v>785C-APX</v>
          </cell>
          <cell r="EV11" t="str">
            <v>1102.00.RM.0 ROCKER SHAFT ASSEMBLY</v>
          </cell>
          <cell r="EW11">
            <v>374.52</v>
          </cell>
          <cell r="EX11">
            <v>520</v>
          </cell>
        </row>
        <row r="12">
          <cell r="A12" t="str">
            <v>1357.00.CC.0 V-BELT(S)</v>
          </cell>
          <cell r="B12" t="str">
            <v>YES</v>
          </cell>
          <cell r="M12" t="str">
            <v>1355.00.CC.0 THERMOSTAT/WATER TEMPERATURE REGULATOR</v>
          </cell>
          <cell r="N12"/>
          <cell r="O12"/>
          <cell r="P12"/>
          <cell r="Q12"/>
          <cell r="R12"/>
          <cell r="S12"/>
          <cell r="T12"/>
          <cell r="U12"/>
          <cell r="V12"/>
          <cell r="W12"/>
          <cell r="X12"/>
          <cell r="Y12"/>
          <cell r="Z12"/>
          <cell r="AA12"/>
          <cell r="AB12"/>
          <cell r="AC12"/>
          <cell r="AD12"/>
          <cell r="AE12"/>
          <cell r="AF12"/>
          <cell r="AG12"/>
          <cell r="AH12"/>
          <cell r="AI12"/>
          <cell r="AJ12"/>
          <cell r="AK12"/>
          <cell r="AL12"/>
          <cell r="AM12"/>
          <cell r="AN12"/>
          <cell r="AO12"/>
          <cell r="AP12"/>
          <cell r="AQ12"/>
          <cell r="AR12"/>
          <cell r="AS12"/>
          <cell r="AT12"/>
          <cell r="AU12"/>
          <cell r="AV12"/>
          <cell r="AW12"/>
          <cell r="AX12"/>
          <cell r="AY12"/>
          <cell r="AZ12"/>
          <cell r="BA12"/>
          <cell r="BB12"/>
          <cell r="BC12"/>
          <cell r="BD12"/>
          <cell r="BE12"/>
          <cell r="BF12"/>
          <cell r="BG12"/>
          <cell r="BH12"/>
          <cell r="BI12"/>
          <cell r="BJ12"/>
          <cell r="BK12"/>
          <cell r="BL12"/>
          <cell r="BM12"/>
          <cell r="BN12"/>
          <cell r="BO12"/>
          <cell r="BP12"/>
          <cell r="BQ12"/>
          <cell r="BR12"/>
          <cell r="BS12"/>
          <cell r="BT12"/>
          <cell r="BU12"/>
          <cell r="BV12"/>
          <cell r="BW12"/>
          <cell r="BX12"/>
          <cell r="BY12"/>
          <cell r="BZ12"/>
          <cell r="CA12"/>
          <cell r="CB12"/>
          <cell r="CC12"/>
          <cell r="CD12"/>
          <cell r="CE12"/>
          <cell r="CF12"/>
          <cell r="CG12"/>
          <cell r="CH12"/>
          <cell r="CI12"/>
          <cell r="CJ12"/>
          <cell r="CK12"/>
          <cell r="CL12"/>
          <cell r="CM12"/>
          <cell r="CN12"/>
          <cell r="CO12"/>
          <cell r="CP12"/>
          <cell r="CQ12"/>
          <cell r="CR12"/>
          <cell r="CS12"/>
          <cell r="CT12"/>
          <cell r="CU12"/>
          <cell r="CV12"/>
          <cell r="CW12"/>
          <cell r="CX12"/>
          <cell r="CY12"/>
          <cell r="CZ12"/>
          <cell r="DA12"/>
          <cell r="DB12"/>
          <cell r="DC12"/>
          <cell r="DD12"/>
          <cell r="DE12"/>
          <cell r="DF12"/>
          <cell r="DG12"/>
          <cell r="DH12"/>
          <cell r="DI12"/>
          <cell r="DJ12"/>
          <cell r="DK12"/>
          <cell r="DL12"/>
          <cell r="DM12"/>
          <cell r="DN12"/>
          <cell r="DO12"/>
          <cell r="DP12"/>
          <cell r="DQ12"/>
          <cell r="DR12"/>
          <cell r="DS12"/>
          <cell r="DT12"/>
          <cell r="DU12"/>
          <cell r="DV12"/>
          <cell r="DW12"/>
          <cell r="DX12"/>
          <cell r="ED12"/>
          <cell r="EJ12" t="str">
            <v>DT150-12</v>
          </cell>
          <cell r="EK12" t="str">
            <v>DT150-12</v>
          </cell>
          <cell r="EL12" t="str">
            <v>DT150-11</v>
          </cell>
          <cell r="EM12" t="str">
            <v>Truck</v>
          </cell>
          <cell r="EN12" t="str">
            <v>785C-APX</v>
          </cell>
          <cell r="ES12" t="str">
            <v>785C-APX1250.00.GR.0 FUEL SYSTEM</v>
          </cell>
          <cell r="ET12" t="str">
            <v>785C-APX</v>
          </cell>
          <cell r="EV12" t="str">
            <v>1250.00.GR.0 FUEL SYSTEM</v>
          </cell>
          <cell r="EW12">
            <v>58.66</v>
          </cell>
          <cell r="EX12">
            <v>390</v>
          </cell>
        </row>
        <row r="13">
          <cell r="A13" t="str">
            <v>1358.00.CC.0 BELT TIGHTENER</v>
          </cell>
          <cell r="B13" t="str">
            <v>YES</v>
          </cell>
          <cell r="M13" t="str">
            <v>1357.00.CC.0 V-BELT(S)</v>
          </cell>
          <cell r="N13"/>
          <cell r="O13"/>
          <cell r="P13"/>
          <cell r="Q13"/>
          <cell r="R13"/>
          <cell r="S13"/>
          <cell r="T13"/>
          <cell r="U13"/>
          <cell r="V13"/>
          <cell r="W13"/>
          <cell r="X13"/>
          <cell r="Y13"/>
          <cell r="Z13"/>
          <cell r="AA13"/>
          <cell r="AB13"/>
          <cell r="AC13"/>
          <cell r="AD13"/>
          <cell r="AE13"/>
          <cell r="AF13"/>
          <cell r="AG13"/>
          <cell r="AH13"/>
          <cell r="AI13"/>
          <cell r="AJ13"/>
          <cell r="AK13"/>
          <cell r="AL13"/>
          <cell r="AM13"/>
          <cell r="AN13"/>
          <cell r="AO13"/>
          <cell r="AP13"/>
          <cell r="AQ13"/>
          <cell r="AR13"/>
          <cell r="AS13"/>
          <cell r="AT13"/>
          <cell r="AU13"/>
          <cell r="AV13"/>
          <cell r="AW13"/>
          <cell r="AX13"/>
          <cell r="AY13"/>
          <cell r="AZ13"/>
          <cell r="BA13"/>
          <cell r="BB13"/>
          <cell r="BC13"/>
          <cell r="BD13"/>
          <cell r="BE13"/>
          <cell r="BF13"/>
          <cell r="BG13"/>
          <cell r="BH13"/>
          <cell r="BI13"/>
          <cell r="BJ13"/>
          <cell r="BK13"/>
          <cell r="BL13"/>
          <cell r="BM13"/>
          <cell r="BN13"/>
          <cell r="BO13"/>
          <cell r="BP13"/>
          <cell r="BQ13"/>
          <cell r="BR13"/>
          <cell r="BS13"/>
          <cell r="BT13"/>
          <cell r="BU13"/>
          <cell r="BV13"/>
          <cell r="BW13"/>
          <cell r="BX13"/>
          <cell r="BY13"/>
          <cell r="BZ13"/>
          <cell r="CA13"/>
          <cell r="CB13"/>
          <cell r="CC13"/>
          <cell r="CD13"/>
          <cell r="CE13"/>
          <cell r="CF13"/>
          <cell r="CG13"/>
          <cell r="CH13"/>
          <cell r="CI13"/>
          <cell r="CJ13"/>
          <cell r="CK13"/>
          <cell r="CL13"/>
          <cell r="CM13"/>
          <cell r="CN13"/>
          <cell r="CO13"/>
          <cell r="CP13"/>
          <cell r="CQ13"/>
          <cell r="CR13"/>
          <cell r="CS13"/>
          <cell r="CT13"/>
          <cell r="CU13"/>
          <cell r="CV13"/>
          <cell r="CW13"/>
          <cell r="CX13"/>
          <cell r="CY13"/>
          <cell r="CZ13"/>
          <cell r="DA13"/>
          <cell r="DB13"/>
          <cell r="DC13"/>
          <cell r="DD13"/>
          <cell r="DE13"/>
          <cell r="DF13"/>
          <cell r="DG13"/>
          <cell r="DH13"/>
          <cell r="DI13"/>
          <cell r="DJ13"/>
          <cell r="DK13"/>
          <cell r="DL13"/>
          <cell r="DM13"/>
          <cell r="DN13"/>
          <cell r="DO13"/>
          <cell r="DP13"/>
          <cell r="DQ13"/>
          <cell r="DR13"/>
          <cell r="DS13"/>
          <cell r="DT13"/>
          <cell r="DU13"/>
          <cell r="DV13"/>
          <cell r="DW13"/>
          <cell r="DX13"/>
          <cell r="ED13"/>
          <cell r="EJ13" t="str">
            <v>DT150-13</v>
          </cell>
          <cell r="EK13" t="str">
            <v>DT150-13</v>
          </cell>
          <cell r="EL13" t="str">
            <v>DT150-12</v>
          </cell>
          <cell r="EM13" t="str">
            <v>Truck</v>
          </cell>
          <cell r="EN13" t="str">
            <v>785C-APX</v>
          </cell>
          <cell r="ES13" t="str">
            <v>785C-APX1256.00.CC.0 FUEL TRANSFER PUMP</v>
          </cell>
          <cell r="ET13" t="str">
            <v>785C-APX</v>
          </cell>
          <cell r="EV13" t="str">
            <v>1256.00.CC.0 FUEL TRANSFER PUMP</v>
          </cell>
          <cell r="EW13">
            <v>1192.6400000000001</v>
          </cell>
          <cell r="EX13">
            <v>130</v>
          </cell>
        </row>
        <row r="14">
          <cell r="A14" t="str">
            <v>1359.00.CC.0 FAN DRIVE</v>
          </cell>
          <cell r="B14" t="str">
            <v>YES</v>
          </cell>
          <cell r="M14" t="str">
            <v>1358.00.CC.0 BELT TIGHTENER</v>
          </cell>
          <cell r="N14"/>
          <cell r="O14"/>
          <cell r="P14"/>
          <cell r="Q14"/>
          <cell r="R14"/>
          <cell r="S14"/>
          <cell r="T14"/>
          <cell r="U14"/>
          <cell r="V14"/>
          <cell r="W14"/>
          <cell r="X14"/>
          <cell r="Y14"/>
          <cell r="Z14"/>
          <cell r="AA14"/>
          <cell r="AB14"/>
          <cell r="AC14"/>
          <cell r="AD14"/>
          <cell r="AE14"/>
          <cell r="AF14"/>
          <cell r="AG14"/>
          <cell r="AH14"/>
          <cell r="AI14"/>
          <cell r="AJ14"/>
          <cell r="AK14"/>
          <cell r="AL14"/>
          <cell r="AM14"/>
          <cell r="AN14"/>
          <cell r="AO14"/>
          <cell r="AP14"/>
          <cell r="AQ14"/>
          <cell r="AR14"/>
          <cell r="AS14"/>
          <cell r="AT14"/>
          <cell r="AU14"/>
          <cell r="AV14"/>
          <cell r="AW14"/>
          <cell r="AX14"/>
          <cell r="AY14"/>
          <cell r="AZ14"/>
          <cell r="BA14"/>
          <cell r="BB14"/>
          <cell r="BC14"/>
          <cell r="BD14"/>
          <cell r="BE14"/>
          <cell r="BF14"/>
          <cell r="BG14"/>
          <cell r="BH14"/>
          <cell r="BI14"/>
          <cell r="BJ14"/>
          <cell r="BK14"/>
          <cell r="BL14"/>
          <cell r="BM14"/>
          <cell r="BN14"/>
          <cell r="BO14"/>
          <cell r="BP14"/>
          <cell r="BQ14"/>
          <cell r="BR14"/>
          <cell r="BS14"/>
          <cell r="BT14"/>
          <cell r="BU14"/>
          <cell r="BV14"/>
          <cell r="BW14"/>
          <cell r="BX14"/>
          <cell r="BY14"/>
          <cell r="BZ14"/>
          <cell r="CA14"/>
          <cell r="CB14"/>
          <cell r="CC14"/>
          <cell r="CD14"/>
          <cell r="CE14"/>
          <cell r="CF14"/>
          <cell r="CG14"/>
          <cell r="CH14"/>
          <cell r="CI14"/>
          <cell r="CJ14"/>
          <cell r="CK14"/>
          <cell r="CL14"/>
          <cell r="CM14"/>
          <cell r="CN14"/>
          <cell r="CO14"/>
          <cell r="CP14"/>
          <cell r="CQ14"/>
          <cell r="CR14"/>
          <cell r="CS14"/>
          <cell r="CT14"/>
          <cell r="CU14"/>
          <cell r="CV14"/>
          <cell r="CW14"/>
          <cell r="CX14"/>
          <cell r="CY14"/>
          <cell r="CZ14"/>
          <cell r="DA14"/>
          <cell r="DB14"/>
          <cell r="DC14"/>
          <cell r="DD14"/>
          <cell r="DE14"/>
          <cell r="DF14"/>
          <cell r="DG14"/>
          <cell r="DH14"/>
          <cell r="DI14"/>
          <cell r="DJ14"/>
          <cell r="DK14"/>
          <cell r="DL14"/>
          <cell r="DM14"/>
          <cell r="DN14"/>
          <cell r="DO14"/>
          <cell r="DP14"/>
          <cell r="DQ14"/>
          <cell r="DR14"/>
          <cell r="DS14"/>
          <cell r="DT14"/>
          <cell r="DU14"/>
          <cell r="DV14"/>
          <cell r="DW14"/>
          <cell r="DX14"/>
          <cell r="ED14"/>
          <cell r="EJ14" t="str">
            <v>DT150-14</v>
          </cell>
          <cell r="EK14" t="str">
            <v>DT150-14</v>
          </cell>
          <cell r="EL14" t="str">
            <v>DT150-13</v>
          </cell>
          <cell r="EM14" t="str">
            <v>Truck</v>
          </cell>
          <cell r="EN14" t="str">
            <v>785C-APX</v>
          </cell>
          <cell r="ES14" t="str">
            <v>785C-APX1273.00.CC.0 FUEL TANK</v>
          </cell>
          <cell r="ET14" t="str">
            <v>785C-APX</v>
          </cell>
          <cell r="EV14" t="str">
            <v>1273.00.CC.0 FUEL TANK</v>
          </cell>
          <cell r="EW14">
            <v>1532.0474999999999</v>
          </cell>
          <cell r="EX14">
            <v>65</v>
          </cell>
        </row>
        <row r="15">
          <cell r="A15" t="str">
            <v>1361.00.CC.0 WATER PUMP</v>
          </cell>
          <cell r="B15" t="str">
            <v>YES</v>
          </cell>
          <cell r="M15" t="str">
            <v>1359.00.CC.0 FAN DRIVE</v>
          </cell>
          <cell r="N15"/>
          <cell r="O15"/>
          <cell r="P15"/>
          <cell r="Q15"/>
          <cell r="R15"/>
          <cell r="S15"/>
          <cell r="T15"/>
          <cell r="U15"/>
          <cell r="V15"/>
          <cell r="W15"/>
          <cell r="X15"/>
          <cell r="Y15"/>
          <cell r="Z15"/>
          <cell r="AA15"/>
          <cell r="AB15"/>
          <cell r="AC15"/>
          <cell r="AD15"/>
          <cell r="AE15"/>
          <cell r="AF15"/>
          <cell r="AG15"/>
          <cell r="AH15"/>
          <cell r="AI15"/>
          <cell r="AJ15"/>
          <cell r="AK15"/>
          <cell r="AL15"/>
          <cell r="AM15"/>
          <cell r="AN15"/>
          <cell r="AO15"/>
          <cell r="AP15"/>
          <cell r="AQ15"/>
          <cell r="AR15"/>
          <cell r="AS15"/>
          <cell r="AT15"/>
          <cell r="AU15"/>
          <cell r="AV15"/>
          <cell r="AW15"/>
          <cell r="AX15"/>
          <cell r="AY15"/>
          <cell r="AZ15"/>
          <cell r="BA15"/>
          <cell r="BB15"/>
          <cell r="BC15"/>
          <cell r="BD15"/>
          <cell r="BE15"/>
          <cell r="BF15"/>
          <cell r="BG15"/>
          <cell r="BH15"/>
          <cell r="BI15"/>
          <cell r="BJ15"/>
          <cell r="BK15"/>
          <cell r="BL15"/>
          <cell r="BM15"/>
          <cell r="BN15"/>
          <cell r="BO15"/>
          <cell r="BP15"/>
          <cell r="BQ15"/>
          <cell r="BR15"/>
          <cell r="BS15"/>
          <cell r="BT15"/>
          <cell r="BU15"/>
          <cell r="BV15"/>
          <cell r="BW15"/>
          <cell r="BX15"/>
          <cell r="BY15"/>
          <cell r="BZ15"/>
          <cell r="CA15"/>
          <cell r="CB15"/>
          <cell r="CC15"/>
          <cell r="CD15"/>
          <cell r="CE15"/>
          <cell r="CF15"/>
          <cell r="CG15"/>
          <cell r="CH15"/>
          <cell r="CI15"/>
          <cell r="CJ15"/>
          <cell r="CK15"/>
          <cell r="CL15"/>
          <cell r="CM15"/>
          <cell r="CN15"/>
          <cell r="CO15"/>
          <cell r="CP15"/>
          <cell r="CQ15"/>
          <cell r="CR15"/>
          <cell r="CS15"/>
          <cell r="CT15"/>
          <cell r="CU15"/>
          <cell r="CV15"/>
          <cell r="CW15"/>
          <cell r="CX15"/>
          <cell r="CY15"/>
          <cell r="CZ15"/>
          <cell r="DA15"/>
          <cell r="DB15"/>
          <cell r="DC15"/>
          <cell r="DD15"/>
          <cell r="DE15"/>
          <cell r="DF15"/>
          <cell r="DG15"/>
          <cell r="DH15"/>
          <cell r="DI15"/>
          <cell r="DJ15"/>
          <cell r="DK15"/>
          <cell r="DL15"/>
          <cell r="DM15"/>
          <cell r="DN15"/>
          <cell r="DO15"/>
          <cell r="DP15"/>
          <cell r="DQ15"/>
          <cell r="DR15"/>
          <cell r="DS15"/>
          <cell r="DT15"/>
          <cell r="DU15"/>
          <cell r="DV15"/>
          <cell r="DW15"/>
          <cell r="DX15"/>
          <cell r="ED15"/>
          <cell r="EJ15" t="str">
            <v>DT180-01</v>
          </cell>
          <cell r="EK15" t="str">
            <v>DT180-01</v>
          </cell>
          <cell r="EL15" t="str">
            <v>DT150-14</v>
          </cell>
          <cell r="EM15" t="str">
            <v>Truck</v>
          </cell>
          <cell r="EN15" t="str">
            <v>785C-APX</v>
          </cell>
          <cell r="ES15" t="str">
            <v>785C-APX1290.00.CC.0 UNIT INJECTOR</v>
          </cell>
          <cell r="ET15" t="str">
            <v>785C-APX</v>
          </cell>
          <cell r="EV15" t="str">
            <v>1290.00.CC.0 UNIT INJECTOR</v>
          </cell>
          <cell r="EW15">
            <v>6898.74</v>
          </cell>
          <cell r="EX15">
            <v>780</v>
          </cell>
        </row>
        <row r="16">
          <cell r="A16" t="str">
            <v>1363.00.CC.0 AFTERCOOLER WATER PUMP</v>
          </cell>
          <cell r="B16" t="str">
            <v>YES</v>
          </cell>
          <cell r="M16" t="str">
            <v>1361.00.CC.0 WATER PUMP</v>
          </cell>
          <cell r="N16"/>
          <cell r="O16"/>
          <cell r="P16"/>
          <cell r="Q16"/>
          <cell r="R16"/>
          <cell r="S16"/>
          <cell r="T16"/>
          <cell r="U16"/>
          <cell r="V16"/>
          <cell r="W16"/>
          <cell r="X16"/>
          <cell r="Y16"/>
          <cell r="Z16"/>
          <cell r="AA16"/>
          <cell r="AB16"/>
          <cell r="AC16"/>
          <cell r="AD16"/>
          <cell r="AE16"/>
          <cell r="AF16"/>
          <cell r="AG16"/>
          <cell r="AH16"/>
          <cell r="AI16"/>
          <cell r="AJ16"/>
          <cell r="AK16"/>
          <cell r="AL16"/>
          <cell r="AM16"/>
          <cell r="AN16"/>
          <cell r="AO16"/>
          <cell r="AP16"/>
          <cell r="AQ16"/>
          <cell r="AR16"/>
          <cell r="AS16"/>
          <cell r="AT16"/>
          <cell r="AU16"/>
          <cell r="AV16"/>
          <cell r="AW16"/>
          <cell r="AX16"/>
          <cell r="AY16"/>
          <cell r="AZ16"/>
          <cell r="BA16"/>
          <cell r="BB16"/>
          <cell r="BC16"/>
          <cell r="BD16"/>
          <cell r="BE16"/>
          <cell r="BF16"/>
          <cell r="BG16"/>
          <cell r="BH16"/>
          <cell r="BI16"/>
          <cell r="BJ16"/>
          <cell r="BK16"/>
          <cell r="BL16"/>
          <cell r="BM16"/>
          <cell r="BN16"/>
          <cell r="BO16"/>
          <cell r="BP16"/>
          <cell r="BQ16"/>
          <cell r="BR16"/>
          <cell r="BS16"/>
          <cell r="BT16"/>
          <cell r="BU16"/>
          <cell r="BV16"/>
          <cell r="BW16"/>
          <cell r="BX16"/>
          <cell r="BY16"/>
          <cell r="BZ16"/>
          <cell r="CA16"/>
          <cell r="CB16"/>
          <cell r="CC16"/>
          <cell r="CD16"/>
          <cell r="CE16"/>
          <cell r="CF16"/>
          <cell r="CG16"/>
          <cell r="CH16"/>
          <cell r="CI16"/>
          <cell r="CJ16"/>
          <cell r="CK16"/>
          <cell r="CL16"/>
          <cell r="CM16"/>
          <cell r="CN16"/>
          <cell r="CO16"/>
          <cell r="CP16"/>
          <cell r="CQ16"/>
          <cell r="CR16"/>
          <cell r="CS16"/>
          <cell r="CT16"/>
          <cell r="CU16"/>
          <cell r="CV16"/>
          <cell r="CW16"/>
          <cell r="CX16"/>
          <cell r="CY16"/>
          <cell r="CZ16"/>
          <cell r="DA16"/>
          <cell r="DB16"/>
          <cell r="DC16"/>
          <cell r="DD16"/>
          <cell r="DE16"/>
          <cell r="DF16"/>
          <cell r="DG16"/>
          <cell r="DH16"/>
          <cell r="DI16"/>
          <cell r="DJ16"/>
          <cell r="DK16"/>
          <cell r="DL16"/>
          <cell r="DM16"/>
          <cell r="DN16"/>
          <cell r="DO16"/>
          <cell r="DP16"/>
          <cell r="DQ16"/>
          <cell r="DR16"/>
          <cell r="DS16"/>
          <cell r="DT16"/>
          <cell r="DU16"/>
          <cell r="DV16"/>
          <cell r="DW16"/>
          <cell r="DX16"/>
          <cell r="ED16"/>
          <cell r="EJ16" t="str">
            <v>DT180-02</v>
          </cell>
          <cell r="EK16" t="str">
            <v>DT180-02</v>
          </cell>
          <cell r="EL16" t="str">
            <v>DT180-01</v>
          </cell>
          <cell r="EM16" t="str">
            <v>Truck</v>
          </cell>
          <cell r="EN16" t="str">
            <v>789C-2BW</v>
          </cell>
          <cell r="ES16" t="str">
            <v>785C-APX1353.00.CC.0 RADIATOR</v>
          </cell>
          <cell r="ET16" t="str">
            <v>785C-APX</v>
          </cell>
          <cell r="EV16" t="str">
            <v>1353.00.CC.0 RADIATOR</v>
          </cell>
          <cell r="EW16">
            <v>4605.4759999999997</v>
          </cell>
          <cell r="EX16">
            <v>2405</v>
          </cell>
        </row>
        <row r="17">
          <cell r="A17" t="str">
            <v>1365.FR.CC.0 BRK OIL COOLER</v>
          </cell>
          <cell r="B17" t="str">
            <v>YES</v>
          </cell>
          <cell r="M17" t="str">
            <v>1363.00.CC.0 AFTERCOOLER WATER PUMP</v>
          </cell>
          <cell r="N17"/>
          <cell r="O17"/>
          <cell r="P17"/>
          <cell r="Q17"/>
          <cell r="R17"/>
          <cell r="S17"/>
          <cell r="T17"/>
          <cell r="U17"/>
          <cell r="V17"/>
          <cell r="W17"/>
          <cell r="X17"/>
          <cell r="Y17"/>
          <cell r="Z17"/>
          <cell r="AA17"/>
          <cell r="AB17"/>
          <cell r="AC17"/>
          <cell r="AD17"/>
          <cell r="AE17"/>
          <cell r="AF17"/>
          <cell r="AG17"/>
          <cell r="AH17"/>
          <cell r="AI17"/>
          <cell r="AJ17"/>
          <cell r="AK17"/>
          <cell r="AL17"/>
          <cell r="AM17"/>
          <cell r="AN17"/>
          <cell r="AO17"/>
          <cell r="AP17"/>
          <cell r="AQ17"/>
          <cell r="AR17"/>
          <cell r="AS17"/>
          <cell r="AT17"/>
          <cell r="AU17"/>
          <cell r="AV17"/>
          <cell r="AW17"/>
          <cell r="AX17"/>
          <cell r="AY17"/>
          <cell r="AZ17"/>
          <cell r="BA17"/>
          <cell r="BB17"/>
          <cell r="BC17"/>
          <cell r="BD17"/>
          <cell r="BE17"/>
          <cell r="BF17"/>
          <cell r="BG17"/>
          <cell r="BH17"/>
          <cell r="BI17"/>
          <cell r="BJ17"/>
          <cell r="BK17"/>
          <cell r="BL17"/>
          <cell r="BM17"/>
          <cell r="BN17"/>
          <cell r="BO17"/>
          <cell r="BP17"/>
          <cell r="BQ17"/>
          <cell r="BR17"/>
          <cell r="BS17"/>
          <cell r="BT17"/>
          <cell r="BU17"/>
          <cell r="BV17"/>
          <cell r="BW17"/>
          <cell r="BX17"/>
          <cell r="BY17"/>
          <cell r="BZ17"/>
          <cell r="CA17"/>
          <cell r="CB17"/>
          <cell r="CC17"/>
          <cell r="CD17"/>
          <cell r="CE17"/>
          <cell r="CF17"/>
          <cell r="CG17"/>
          <cell r="CH17"/>
          <cell r="CI17"/>
          <cell r="CJ17"/>
          <cell r="CK17"/>
          <cell r="CL17"/>
          <cell r="CM17"/>
          <cell r="CN17"/>
          <cell r="CO17"/>
          <cell r="CP17"/>
          <cell r="CQ17"/>
          <cell r="CR17"/>
          <cell r="CS17"/>
          <cell r="CT17"/>
          <cell r="CU17"/>
          <cell r="CV17"/>
          <cell r="CW17"/>
          <cell r="CX17"/>
          <cell r="CY17"/>
          <cell r="CZ17"/>
          <cell r="DA17"/>
          <cell r="DB17"/>
          <cell r="DC17"/>
          <cell r="DD17"/>
          <cell r="DE17"/>
          <cell r="DF17"/>
          <cell r="DG17"/>
          <cell r="DH17"/>
          <cell r="DI17"/>
          <cell r="DJ17"/>
          <cell r="DK17"/>
          <cell r="DL17"/>
          <cell r="DM17"/>
          <cell r="DN17"/>
          <cell r="DO17"/>
          <cell r="DP17"/>
          <cell r="DQ17"/>
          <cell r="DR17"/>
          <cell r="DS17"/>
          <cell r="DT17"/>
          <cell r="DU17"/>
          <cell r="DV17"/>
          <cell r="DW17"/>
          <cell r="DX17"/>
          <cell r="ED17"/>
          <cell r="EJ17" t="str">
            <v>DT180-03</v>
          </cell>
          <cell r="EK17" t="str">
            <v>DT180-03</v>
          </cell>
          <cell r="EL17" t="str">
            <v>DT180-02</v>
          </cell>
          <cell r="EM17" t="str">
            <v>Truck</v>
          </cell>
          <cell r="EN17" t="str">
            <v>789C-2BW</v>
          </cell>
          <cell r="ES17" t="str">
            <v>785C-APX1355.00.CC.0 THERMOSTAT/WATER TEMPERATURE REGULATOR</v>
          </cell>
          <cell r="ET17" t="str">
            <v>785C-APX</v>
          </cell>
          <cell r="EV17" t="str">
            <v>1355.00.CC.0 THERMOSTAT/WATER TEMPERATURE REGULATOR</v>
          </cell>
          <cell r="EW17">
            <v>320.5</v>
          </cell>
          <cell r="EX17">
            <v>520</v>
          </cell>
        </row>
        <row r="18">
          <cell r="A18" t="str">
            <v>1375.00.CC.0 TORQUE CONVERTER/TRANSMISSION OIL COOLER</v>
          </cell>
          <cell r="B18" t="str">
            <v>YES</v>
          </cell>
          <cell r="M18" t="str">
            <v>1365.FR.CC.0 BRK OIL COOLER</v>
          </cell>
          <cell r="N18"/>
          <cell r="O18"/>
          <cell r="P18"/>
          <cell r="Q18"/>
          <cell r="R18"/>
          <cell r="S18"/>
          <cell r="T18"/>
          <cell r="U18"/>
          <cell r="V18"/>
          <cell r="W18"/>
          <cell r="X18"/>
          <cell r="Y18"/>
          <cell r="Z18"/>
          <cell r="AA18"/>
          <cell r="AB18"/>
          <cell r="AC18"/>
          <cell r="AD18"/>
          <cell r="AE18"/>
          <cell r="AF18"/>
          <cell r="AG18"/>
          <cell r="AH18"/>
          <cell r="AI18"/>
          <cell r="AJ18"/>
          <cell r="AK18"/>
          <cell r="AL18"/>
          <cell r="AM18"/>
          <cell r="AN18"/>
          <cell r="AO18"/>
          <cell r="AP18"/>
          <cell r="AQ18"/>
          <cell r="AR18"/>
          <cell r="AS18"/>
          <cell r="AT18"/>
          <cell r="AU18"/>
          <cell r="AV18"/>
          <cell r="AW18"/>
          <cell r="AX18"/>
          <cell r="AY18"/>
          <cell r="AZ18"/>
          <cell r="BA18"/>
          <cell r="BB18"/>
          <cell r="BC18"/>
          <cell r="BD18"/>
          <cell r="BE18"/>
          <cell r="BF18"/>
          <cell r="BG18"/>
          <cell r="BH18"/>
          <cell r="BI18"/>
          <cell r="BJ18"/>
          <cell r="BK18"/>
          <cell r="BL18"/>
          <cell r="BM18"/>
          <cell r="BN18"/>
          <cell r="BO18"/>
          <cell r="BP18"/>
          <cell r="BQ18"/>
          <cell r="BR18"/>
          <cell r="BS18"/>
          <cell r="BT18"/>
          <cell r="BU18"/>
          <cell r="BV18"/>
          <cell r="BW18"/>
          <cell r="BX18"/>
          <cell r="BY18"/>
          <cell r="BZ18"/>
          <cell r="CA18"/>
          <cell r="CB18"/>
          <cell r="CC18"/>
          <cell r="CD18"/>
          <cell r="CE18"/>
          <cell r="CF18"/>
          <cell r="CG18"/>
          <cell r="CH18"/>
          <cell r="CI18"/>
          <cell r="CJ18"/>
          <cell r="CK18"/>
          <cell r="CL18"/>
          <cell r="CM18"/>
          <cell r="CN18"/>
          <cell r="CO18"/>
          <cell r="CP18"/>
          <cell r="CQ18"/>
          <cell r="CR18"/>
          <cell r="CS18"/>
          <cell r="CT18"/>
          <cell r="CU18"/>
          <cell r="CV18"/>
          <cell r="CW18"/>
          <cell r="CX18"/>
          <cell r="CY18"/>
          <cell r="CZ18"/>
          <cell r="DA18"/>
          <cell r="DB18"/>
          <cell r="DC18"/>
          <cell r="DD18"/>
          <cell r="DE18"/>
          <cell r="DF18"/>
          <cell r="DG18"/>
          <cell r="DH18"/>
          <cell r="DI18"/>
          <cell r="DJ18"/>
          <cell r="DK18"/>
          <cell r="DL18"/>
          <cell r="DM18"/>
          <cell r="DN18"/>
          <cell r="DO18"/>
          <cell r="DP18"/>
          <cell r="DQ18"/>
          <cell r="DR18"/>
          <cell r="DS18"/>
          <cell r="DT18"/>
          <cell r="DU18"/>
          <cell r="DV18"/>
          <cell r="DW18"/>
          <cell r="DX18"/>
          <cell r="ED18"/>
          <cell r="EJ18" t="str">
            <v>DT180-04</v>
          </cell>
          <cell r="EK18" t="str">
            <v>DT180-04</v>
          </cell>
          <cell r="EL18" t="str">
            <v>DT180-03</v>
          </cell>
          <cell r="EM18" t="str">
            <v>Truck</v>
          </cell>
          <cell r="EN18" t="str">
            <v>789C-2BW</v>
          </cell>
          <cell r="ES18" t="str">
            <v>785C-APX1356.00.CC.0 FAN</v>
          </cell>
          <cell r="ET18" t="str">
            <v>785C-APX</v>
          </cell>
          <cell r="EV18" t="str">
            <v>1356.00.CC.0 FAN</v>
          </cell>
          <cell r="EW18">
            <v>5612.87</v>
          </cell>
          <cell r="EX18">
            <v>32.5</v>
          </cell>
        </row>
        <row r="19">
          <cell r="A19" t="str">
            <v>1405.00.CC.0 ALTERNATOR</v>
          </cell>
          <cell r="B19" t="str">
            <v>YES</v>
          </cell>
          <cell r="M19" t="str">
            <v>1375.00.CC.0 TORQUE CONVERTER/TRANSMISSION OIL COOLER</v>
          </cell>
          <cell r="N19"/>
          <cell r="O19"/>
          <cell r="P19"/>
          <cell r="Q19"/>
          <cell r="R19"/>
          <cell r="S19"/>
          <cell r="T19"/>
          <cell r="U19"/>
          <cell r="V19"/>
          <cell r="W19"/>
          <cell r="X19"/>
          <cell r="Y19"/>
          <cell r="Z19"/>
          <cell r="AA19"/>
          <cell r="AB19"/>
          <cell r="AC19"/>
          <cell r="AD19"/>
          <cell r="AE19"/>
          <cell r="AF19"/>
          <cell r="AG19"/>
          <cell r="AH19"/>
          <cell r="AI19"/>
          <cell r="AJ19"/>
          <cell r="AK19"/>
          <cell r="AL19"/>
          <cell r="AM19"/>
          <cell r="AN19"/>
          <cell r="AO19"/>
          <cell r="AP19"/>
          <cell r="AQ19"/>
          <cell r="AR19"/>
          <cell r="AS19"/>
          <cell r="AT19"/>
          <cell r="AU19"/>
          <cell r="AV19"/>
          <cell r="AW19"/>
          <cell r="AX19"/>
          <cell r="AY19"/>
          <cell r="AZ19"/>
          <cell r="BA19"/>
          <cell r="BB19"/>
          <cell r="BC19"/>
          <cell r="BD19"/>
          <cell r="BE19"/>
          <cell r="BF19"/>
          <cell r="BG19"/>
          <cell r="BH19"/>
          <cell r="BI19"/>
          <cell r="BJ19"/>
          <cell r="BK19"/>
          <cell r="BL19"/>
          <cell r="BM19"/>
          <cell r="BN19"/>
          <cell r="BO19"/>
          <cell r="BP19"/>
          <cell r="BQ19"/>
          <cell r="BR19"/>
          <cell r="BS19"/>
          <cell r="BT19"/>
          <cell r="BU19"/>
          <cell r="BV19"/>
          <cell r="BW19"/>
          <cell r="BX19"/>
          <cell r="BY19"/>
          <cell r="BZ19"/>
          <cell r="CA19"/>
          <cell r="CB19"/>
          <cell r="CC19"/>
          <cell r="CD19"/>
          <cell r="CE19"/>
          <cell r="CF19"/>
          <cell r="CG19"/>
          <cell r="CH19"/>
          <cell r="CI19"/>
          <cell r="CJ19"/>
          <cell r="CK19"/>
          <cell r="CL19"/>
          <cell r="CM19"/>
          <cell r="CN19"/>
          <cell r="CO19"/>
          <cell r="CP19"/>
          <cell r="CQ19"/>
          <cell r="CR19"/>
          <cell r="CS19"/>
          <cell r="CT19"/>
          <cell r="CU19"/>
          <cell r="CV19"/>
          <cell r="CW19"/>
          <cell r="CX19"/>
          <cell r="CY19"/>
          <cell r="CZ19"/>
          <cell r="DA19"/>
          <cell r="DB19"/>
          <cell r="DC19"/>
          <cell r="DD19"/>
          <cell r="DE19"/>
          <cell r="DF19"/>
          <cell r="DG19"/>
          <cell r="DH19"/>
          <cell r="DI19"/>
          <cell r="DJ19"/>
          <cell r="DK19"/>
          <cell r="DL19"/>
          <cell r="DM19"/>
          <cell r="DN19"/>
          <cell r="DO19"/>
          <cell r="DP19"/>
          <cell r="DQ19"/>
          <cell r="DR19"/>
          <cell r="DS19"/>
          <cell r="DT19"/>
          <cell r="DU19"/>
          <cell r="DV19"/>
          <cell r="DW19"/>
          <cell r="DX19"/>
          <cell r="ED19"/>
          <cell r="EJ19" t="str">
            <v>DT180-05</v>
          </cell>
          <cell r="EK19" t="str">
            <v>DT180-05</v>
          </cell>
          <cell r="EL19" t="str">
            <v>DT180-04</v>
          </cell>
          <cell r="EM19" t="str">
            <v>Truck</v>
          </cell>
          <cell r="EN19" t="str">
            <v>789C-2BW</v>
          </cell>
          <cell r="ES19" t="str">
            <v>785C-APX1356.00.RI.0 FAN</v>
          </cell>
          <cell r="ET19" t="str">
            <v>785C-APX</v>
          </cell>
          <cell r="EV19" t="str">
            <v>1356.00.RI.0 FAN</v>
          </cell>
          <cell r="EW19">
            <v>0</v>
          </cell>
          <cell r="EX19">
            <v>65</v>
          </cell>
        </row>
        <row r="20">
          <cell r="A20" t="str">
            <v>1405.BJ.CC.0 ALTERNATOR</v>
          </cell>
          <cell r="B20" t="str">
            <v>YES</v>
          </cell>
          <cell r="M20" t="str">
            <v>1405.00.CC.0 ALTERNATOR</v>
          </cell>
          <cell r="N20"/>
          <cell r="O20"/>
          <cell r="P20"/>
          <cell r="Q20"/>
          <cell r="R20"/>
          <cell r="S20"/>
          <cell r="T20"/>
          <cell r="U20"/>
          <cell r="V20"/>
          <cell r="W20"/>
          <cell r="X20"/>
          <cell r="Y20"/>
          <cell r="Z20"/>
          <cell r="AA20"/>
          <cell r="AB20"/>
          <cell r="AC20"/>
          <cell r="AD20"/>
          <cell r="AE20"/>
          <cell r="AF20"/>
          <cell r="AG20"/>
          <cell r="AH20"/>
          <cell r="AI20"/>
          <cell r="AJ20"/>
          <cell r="AK20"/>
          <cell r="AL20"/>
          <cell r="AM20"/>
          <cell r="AN20"/>
          <cell r="AO20"/>
          <cell r="AP20"/>
          <cell r="AQ20"/>
          <cell r="AR20"/>
          <cell r="AS20"/>
          <cell r="AT20"/>
          <cell r="AU20"/>
          <cell r="AV20"/>
          <cell r="AW20"/>
          <cell r="AX20"/>
          <cell r="AY20"/>
          <cell r="AZ20"/>
          <cell r="BA20"/>
          <cell r="BB20"/>
          <cell r="BC20"/>
          <cell r="BD20"/>
          <cell r="BE20"/>
          <cell r="BF20"/>
          <cell r="BG20"/>
          <cell r="BH20"/>
          <cell r="BI20"/>
          <cell r="BJ20"/>
          <cell r="BK20"/>
          <cell r="BL20"/>
          <cell r="BM20"/>
          <cell r="BN20"/>
          <cell r="BO20"/>
          <cell r="BP20"/>
          <cell r="BQ20"/>
          <cell r="BR20"/>
          <cell r="BS20"/>
          <cell r="BT20"/>
          <cell r="BU20"/>
          <cell r="BV20"/>
          <cell r="BW20"/>
          <cell r="BX20"/>
          <cell r="BY20"/>
          <cell r="BZ20"/>
          <cell r="CA20"/>
          <cell r="CB20"/>
          <cell r="CC20"/>
          <cell r="CD20"/>
          <cell r="CE20"/>
          <cell r="CF20"/>
          <cell r="CG20"/>
          <cell r="CH20"/>
          <cell r="CI20"/>
          <cell r="CJ20"/>
          <cell r="CK20"/>
          <cell r="CL20"/>
          <cell r="CM20"/>
          <cell r="CN20"/>
          <cell r="CO20"/>
          <cell r="CP20"/>
          <cell r="CQ20"/>
          <cell r="CR20"/>
          <cell r="CS20"/>
          <cell r="CT20"/>
          <cell r="CU20"/>
          <cell r="CV20"/>
          <cell r="CW20"/>
          <cell r="CX20"/>
          <cell r="CY20"/>
          <cell r="CZ20"/>
          <cell r="DA20"/>
          <cell r="DB20"/>
          <cell r="DC20"/>
          <cell r="DD20"/>
          <cell r="DE20"/>
          <cell r="DF20"/>
          <cell r="DG20"/>
          <cell r="DH20"/>
          <cell r="DI20"/>
          <cell r="DJ20"/>
          <cell r="DK20"/>
          <cell r="DL20"/>
          <cell r="DM20"/>
          <cell r="DN20"/>
          <cell r="DO20"/>
          <cell r="DP20"/>
          <cell r="DQ20"/>
          <cell r="DR20"/>
          <cell r="DS20"/>
          <cell r="DT20"/>
          <cell r="DU20"/>
          <cell r="DV20"/>
          <cell r="DW20"/>
          <cell r="DX20"/>
          <cell r="ED20"/>
          <cell r="EJ20" t="str">
            <v>DT180-06</v>
          </cell>
          <cell r="EK20" t="str">
            <v>DT180-06</v>
          </cell>
          <cell r="EL20" t="str">
            <v>DT180-05</v>
          </cell>
          <cell r="EM20" t="str">
            <v>Truck</v>
          </cell>
          <cell r="EN20" t="str">
            <v>789C-2BW</v>
          </cell>
          <cell r="ES20" t="str">
            <v>785C-APX1357.00.CC.0 V-BELT(S)</v>
          </cell>
          <cell r="ET20" t="str">
            <v>785C-APX</v>
          </cell>
          <cell r="EV20" t="str">
            <v>1357.00.CC.0 V-BELT(S)</v>
          </cell>
          <cell r="EW20">
            <v>438.41</v>
          </cell>
          <cell r="EX20">
            <v>195</v>
          </cell>
        </row>
        <row r="21">
          <cell r="A21" t="str">
            <v>1451.00.CC.0 AIR STARTING MOTOR</v>
          </cell>
          <cell r="B21" t="str">
            <v>YES</v>
          </cell>
          <cell r="M21" t="str">
            <v>1405.BJ.CC.0 ALTERNATOR</v>
          </cell>
          <cell r="N21"/>
          <cell r="O21"/>
          <cell r="P21"/>
          <cell r="Q21"/>
          <cell r="R21"/>
          <cell r="S21"/>
          <cell r="T21"/>
          <cell r="U21"/>
          <cell r="V21"/>
          <cell r="W21"/>
          <cell r="X21"/>
          <cell r="Y21"/>
          <cell r="Z21"/>
          <cell r="AA21"/>
          <cell r="AB21"/>
          <cell r="AC21"/>
          <cell r="AD21"/>
          <cell r="AE21"/>
          <cell r="AF21"/>
          <cell r="AG21"/>
          <cell r="AH21"/>
          <cell r="AI21"/>
          <cell r="AJ21"/>
          <cell r="AK21" t="str">
            <v>DT180-08</v>
          </cell>
          <cell r="AL21"/>
          <cell r="AM21"/>
          <cell r="AN21"/>
          <cell r="AO21"/>
          <cell r="AP21"/>
          <cell r="AQ21"/>
          <cell r="AR21"/>
          <cell r="AS21"/>
          <cell r="AT21"/>
          <cell r="AU21"/>
          <cell r="AV21"/>
          <cell r="AW21"/>
          <cell r="AX21"/>
          <cell r="AY21"/>
          <cell r="AZ21"/>
          <cell r="BA21"/>
          <cell r="BB21"/>
          <cell r="BC21"/>
          <cell r="BD21"/>
          <cell r="BE21"/>
          <cell r="BF21"/>
          <cell r="BG21"/>
          <cell r="BH21"/>
          <cell r="BI21"/>
          <cell r="BJ21"/>
          <cell r="BK21"/>
          <cell r="BL21"/>
          <cell r="BM21"/>
          <cell r="BN21"/>
          <cell r="BO21"/>
          <cell r="BP21"/>
          <cell r="BQ21"/>
          <cell r="BR21"/>
          <cell r="BS21"/>
          <cell r="BT21"/>
          <cell r="BU21"/>
          <cell r="BV21"/>
          <cell r="BW21"/>
          <cell r="BX21"/>
          <cell r="BY21"/>
          <cell r="BZ21"/>
          <cell r="CA21"/>
          <cell r="CB21"/>
          <cell r="CC21"/>
          <cell r="CD21"/>
          <cell r="CE21"/>
          <cell r="CF21"/>
          <cell r="CG21"/>
          <cell r="CH21"/>
          <cell r="CI21"/>
          <cell r="CJ21"/>
          <cell r="CK21"/>
          <cell r="CL21"/>
          <cell r="CM21"/>
          <cell r="CN21"/>
          <cell r="CO21"/>
          <cell r="CP21"/>
          <cell r="CQ21"/>
          <cell r="CR21"/>
          <cell r="CS21"/>
          <cell r="CT21"/>
          <cell r="CU21"/>
          <cell r="CV21"/>
          <cell r="CW21"/>
          <cell r="CX21"/>
          <cell r="CY21"/>
          <cell r="CZ21"/>
          <cell r="DA21"/>
          <cell r="DB21"/>
          <cell r="DC21"/>
          <cell r="DD21"/>
          <cell r="DE21"/>
          <cell r="DF21"/>
          <cell r="DG21"/>
          <cell r="DH21"/>
          <cell r="DI21"/>
          <cell r="DJ21"/>
          <cell r="DK21"/>
          <cell r="DL21"/>
          <cell r="DM21"/>
          <cell r="DN21"/>
          <cell r="DO21"/>
          <cell r="DP21"/>
          <cell r="DQ21"/>
          <cell r="DR21"/>
          <cell r="DS21"/>
          <cell r="DT21"/>
          <cell r="DU21"/>
          <cell r="DV21"/>
          <cell r="DW21"/>
          <cell r="DX21"/>
          <cell r="ED21" t="str">
            <v>DT180-08</v>
          </cell>
          <cell r="EJ21" t="str">
            <v>DT180-07</v>
          </cell>
          <cell r="EK21" t="str">
            <v>DT180-07</v>
          </cell>
          <cell r="EL21" t="str">
            <v>DT180-06</v>
          </cell>
          <cell r="EM21" t="str">
            <v>Truck</v>
          </cell>
          <cell r="EN21" t="str">
            <v>789C-2BW</v>
          </cell>
          <cell r="ES21" t="str">
            <v>785C-APX1359.00.CC.0 FAN DRIVE</v>
          </cell>
          <cell r="ET21" t="str">
            <v>785C-APX</v>
          </cell>
          <cell r="EV21" t="str">
            <v>1359.00.CC.0 FAN DRIVE</v>
          </cell>
          <cell r="EW21">
            <v>1389.7065</v>
          </cell>
          <cell r="EX21">
            <v>390</v>
          </cell>
        </row>
        <row r="22">
          <cell r="A22" t="str">
            <v>1802.00.CC.0 REFRIGERANT COMPRESSOR</v>
          </cell>
          <cell r="B22" t="str">
            <v>YES</v>
          </cell>
          <cell r="M22" t="str">
            <v>1451.00.CC.0 AIR STARTING MOTOR</v>
          </cell>
          <cell r="N22"/>
          <cell r="O22"/>
          <cell r="P22"/>
          <cell r="Q22"/>
          <cell r="R22"/>
          <cell r="S22"/>
          <cell r="T22"/>
          <cell r="U22"/>
          <cell r="V22"/>
          <cell r="W22"/>
          <cell r="X22"/>
          <cell r="Y22"/>
          <cell r="Z22"/>
          <cell r="AA22"/>
          <cell r="AB22"/>
          <cell r="AC22"/>
          <cell r="AD22"/>
          <cell r="AE22"/>
          <cell r="AF22"/>
          <cell r="AG22"/>
          <cell r="AH22"/>
          <cell r="AI22"/>
          <cell r="AJ22"/>
          <cell r="AK22"/>
          <cell r="AL22"/>
          <cell r="AM22"/>
          <cell r="AN22"/>
          <cell r="AO22"/>
          <cell r="AP22"/>
          <cell r="AQ22"/>
          <cell r="AR22"/>
          <cell r="AS22"/>
          <cell r="AT22"/>
          <cell r="AU22"/>
          <cell r="AV22"/>
          <cell r="AW22"/>
          <cell r="AX22"/>
          <cell r="AY22"/>
          <cell r="AZ22"/>
          <cell r="BA22"/>
          <cell r="BB22"/>
          <cell r="BC22"/>
          <cell r="BD22"/>
          <cell r="BE22"/>
          <cell r="BF22"/>
          <cell r="BG22"/>
          <cell r="BH22"/>
          <cell r="BI22"/>
          <cell r="BJ22"/>
          <cell r="BK22"/>
          <cell r="BL22"/>
          <cell r="BM22"/>
          <cell r="BN22"/>
          <cell r="BO22"/>
          <cell r="BP22"/>
          <cell r="BQ22"/>
          <cell r="BR22"/>
          <cell r="BS22"/>
          <cell r="BT22"/>
          <cell r="BU22"/>
          <cell r="BV22"/>
          <cell r="BW22"/>
          <cell r="BX22"/>
          <cell r="BY22"/>
          <cell r="BZ22"/>
          <cell r="CA22"/>
          <cell r="CB22"/>
          <cell r="CC22"/>
          <cell r="CD22"/>
          <cell r="CE22"/>
          <cell r="CF22"/>
          <cell r="CG22"/>
          <cell r="CH22"/>
          <cell r="CI22"/>
          <cell r="CJ22"/>
          <cell r="CK22"/>
          <cell r="CL22"/>
          <cell r="CM22"/>
          <cell r="CN22"/>
          <cell r="CO22"/>
          <cell r="CP22"/>
          <cell r="CQ22"/>
          <cell r="CR22"/>
          <cell r="CS22"/>
          <cell r="CT22"/>
          <cell r="CU22"/>
          <cell r="CV22"/>
          <cell r="CW22"/>
          <cell r="CX22"/>
          <cell r="CY22"/>
          <cell r="CZ22"/>
          <cell r="DA22"/>
          <cell r="DB22"/>
          <cell r="DC22"/>
          <cell r="DD22"/>
          <cell r="DE22"/>
          <cell r="DF22"/>
          <cell r="DG22"/>
          <cell r="DH22"/>
          <cell r="DI22"/>
          <cell r="DJ22"/>
          <cell r="DK22"/>
          <cell r="DL22"/>
          <cell r="DM22"/>
          <cell r="DN22"/>
          <cell r="DO22"/>
          <cell r="DP22"/>
          <cell r="DQ22"/>
          <cell r="DR22"/>
          <cell r="DS22"/>
          <cell r="DT22"/>
          <cell r="DU22"/>
          <cell r="DV22"/>
          <cell r="DW22"/>
          <cell r="DX22"/>
          <cell r="ED22"/>
          <cell r="EJ22" t="str">
            <v>DT180-08</v>
          </cell>
          <cell r="EK22" t="str">
            <v>DT180-08</v>
          </cell>
          <cell r="EL22" t="str">
            <v>DT180-07</v>
          </cell>
          <cell r="EM22" t="str">
            <v>Truck</v>
          </cell>
          <cell r="EN22" t="str">
            <v>789C-2BW</v>
          </cell>
          <cell r="ES22" t="str">
            <v>785C-APX1361.00.CC.0 WATER PUMP</v>
          </cell>
          <cell r="ET22" t="str">
            <v>785C-APX</v>
          </cell>
          <cell r="EV22" t="str">
            <v>1361.00.CC.0 WATER PUMP</v>
          </cell>
          <cell r="EW22">
            <v>1231.0899999999999</v>
          </cell>
          <cell r="EX22">
            <v>260</v>
          </cell>
        </row>
        <row r="23">
          <cell r="A23" t="str">
            <v>1802.BJ.CC.0 REFRIGERANT COMPRESSOR</v>
          </cell>
          <cell r="B23" t="str">
            <v>YES</v>
          </cell>
          <cell r="M23" t="str">
            <v>1802.00.CC.0 REFRIGERANT COMPRESSOR</v>
          </cell>
          <cell r="N23"/>
          <cell r="O23"/>
          <cell r="P23"/>
          <cell r="Q23"/>
          <cell r="R23"/>
          <cell r="S23"/>
          <cell r="T23"/>
          <cell r="U23"/>
          <cell r="V23"/>
          <cell r="W23"/>
          <cell r="X23"/>
          <cell r="Y23"/>
          <cell r="Z23"/>
          <cell r="AA23"/>
          <cell r="AB23"/>
          <cell r="AC23"/>
          <cell r="AD23"/>
          <cell r="AE23"/>
          <cell r="AF23"/>
          <cell r="AG23"/>
          <cell r="AH23"/>
          <cell r="AI23"/>
          <cell r="AJ23"/>
          <cell r="AK23"/>
          <cell r="AL23"/>
          <cell r="AM23"/>
          <cell r="AN23"/>
          <cell r="AO23"/>
          <cell r="AP23"/>
          <cell r="AQ23"/>
          <cell r="AR23"/>
          <cell r="AS23"/>
          <cell r="AT23"/>
          <cell r="AU23"/>
          <cell r="AV23"/>
          <cell r="AW23"/>
          <cell r="AX23"/>
          <cell r="AY23"/>
          <cell r="AZ23"/>
          <cell r="BA23"/>
          <cell r="BB23"/>
          <cell r="BC23"/>
          <cell r="BD23"/>
          <cell r="BE23"/>
          <cell r="BF23"/>
          <cell r="BG23"/>
          <cell r="BH23"/>
          <cell r="BI23"/>
          <cell r="BJ23"/>
          <cell r="BK23"/>
          <cell r="BL23"/>
          <cell r="BM23"/>
          <cell r="BN23"/>
          <cell r="BO23"/>
          <cell r="BP23"/>
          <cell r="BQ23"/>
          <cell r="BR23"/>
          <cell r="BS23"/>
          <cell r="BT23"/>
          <cell r="BU23"/>
          <cell r="BV23"/>
          <cell r="BW23"/>
          <cell r="BX23"/>
          <cell r="BY23"/>
          <cell r="BZ23"/>
          <cell r="CA23"/>
          <cell r="CB23"/>
          <cell r="CC23"/>
          <cell r="CD23"/>
          <cell r="CE23"/>
          <cell r="CF23"/>
          <cell r="CG23"/>
          <cell r="CH23"/>
          <cell r="CI23"/>
          <cell r="CJ23"/>
          <cell r="CK23"/>
          <cell r="CL23"/>
          <cell r="CM23"/>
          <cell r="CN23"/>
          <cell r="CO23"/>
          <cell r="CP23"/>
          <cell r="CQ23"/>
          <cell r="CR23"/>
          <cell r="CS23"/>
          <cell r="CT23"/>
          <cell r="CU23"/>
          <cell r="CV23"/>
          <cell r="CW23"/>
          <cell r="CX23"/>
          <cell r="CY23"/>
          <cell r="CZ23"/>
          <cell r="DA23"/>
          <cell r="DB23"/>
          <cell r="DC23"/>
          <cell r="DD23"/>
          <cell r="DE23"/>
          <cell r="DF23"/>
          <cell r="DG23"/>
          <cell r="DH23"/>
          <cell r="DI23"/>
          <cell r="DJ23"/>
          <cell r="DK23"/>
          <cell r="DL23"/>
          <cell r="DM23"/>
          <cell r="DN23"/>
          <cell r="DO23"/>
          <cell r="DP23"/>
          <cell r="DQ23"/>
          <cell r="DR23"/>
          <cell r="DS23"/>
          <cell r="DT23"/>
          <cell r="DU23"/>
          <cell r="DV23"/>
          <cell r="DW23"/>
          <cell r="DX23"/>
          <cell r="ED23"/>
          <cell r="EJ23" t="str">
            <v>DT180-09</v>
          </cell>
          <cell r="EK23" t="str">
            <v>DT180-09</v>
          </cell>
          <cell r="EL23" t="str">
            <v>DT180-08</v>
          </cell>
          <cell r="EM23" t="str">
            <v>Truck</v>
          </cell>
          <cell r="EN23" t="str">
            <v>789C-2BW</v>
          </cell>
          <cell r="ES23" t="str">
            <v>785C-APX1363.00.CC.0 AFTERCOOLER WATER PUMP</v>
          </cell>
          <cell r="ET23" t="str">
            <v>785C-APX</v>
          </cell>
          <cell r="EV23" t="str">
            <v>1363.00.CC.0 AFTERCOOLER WATER PUMP</v>
          </cell>
          <cell r="EW23">
            <v>1514.38</v>
          </cell>
          <cell r="EX23">
            <v>260</v>
          </cell>
        </row>
        <row r="24">
          <cell r="A24" t="str">
            <v>1803.00.CC.0 AIR COMPRESSOR</v>
          </cell>
          <cell r="B24" t="str">
            <v>YES</v>
          </cell>
          <cell r="M24" t="str">
            <v>1802.BJ.CC.0 REFRIGERANT COMPRESSOR</v>
          </cell>
          <cell r="N24"/>
          <cell r="O24"/>
          <cell r="P24"/>
          <cell r="Q24"/>
          <cell r="R24"/>
          <cell r="S24"/>
          <cell r="T24"/>
          <cell r="U24"/>
          <cell r="V24"/>
          <cell r="W24"/>
          <cell r="X24"/>
          <cell r="Y24"/>
          <cell r="Z24"/>
          <cell r="AA24"/>
          <cell r="AB24"/>
          <cell r="AC24"/>
          <cell r="AD24"/>
          <cell r="AE24"/>
          <cell r="AF24"/>
          <cell r="AG24"/>
          <cell r="AH24"/>
          <cell r="AI24"/>
          <cell r="AJ24"/>
          <cell r="AK24" t="str">
            <v>DT180-08</v>
          </cell>
          <cell r="AL24"/>
          <cell r="AM24"/>
          <cell r="AN24"/>
          <cell r="AO24"/>
          <cell r="AP24"/>
          <cell r="AQ24"/>
          <cell r="AR24"/>
          <cell r="AS24"/>
          <cell r="AT24"/>
          <cell r="AU24"/>
          <cell r="AV24"/>
          <cell r="AW24"/>
          <cell r="AX24"/>
          <cell r="AY24"/>
          <cell r="AZ24"/>
          <cell r="BA24"/>
          <cell r="BB24"/>
          <cell r="BC24"/>
          <cell r="BD24"/>
          <cell r="BE24"/>
          <cell r="BF24"/>
          <cell r="BG24"/>
          <cell r="BH24"/>
          <cell r="BI24"/>
          <cell r="BJ24"/>
          <cell r="BK24"/>
          <cell r="BL24"/>
          <cell r="BM24"/>
          <cell r="BN24"/>
          <cell r="BO24"/>
          <cell r="BP24"/>
          <cell r="BQ24"/>
          <cell r="BR24"/>
          <cell r="BS24"/>
          <cell r="BT24"/>
          <cell r="BU24"/>
          <cell r="BV24"/>
          <cell r="BW24"/>
          <cell r="BX24"/>
          <cell r="BY24"/>
          <cell r="BZ24"/>
          <cell r="CA24"/>
          <cell r="CB24"/>
          <cell r="CC24"/>
          <cell r="CD24"/>
          <cell r="CE24"/>
          <cell r="CF24"/>
          <cell r="CG24"/>
          <cell r="CH24"/>
          <cell r="CI24"/>
          <cell r="CJ24"/>
          <cell r="CK24"/>
          <cell r="CL24"/>
          <cell r="CM24"/>
          <cell r="CN24"/>
          <cell r="CO24"/>
          <cell r="CP24"/>
          <cell r="CQ24"/>
          <cell r="CR24"/>
          <cell r="CS24"/>
          <cell r="CT24"/>
          <cell r="CU24"/>
          <cell r="CV24"/>
          <cell r="CW24"/>
          <cell r="CX24"/>
          <cell r="CY24"/>
          <cell r="CZ24"/>
          <cell r="DA24"/>
          <cell r="DB24"/>
          <cell r="DC24"/>
          <cell r="DD24"/>
          <cell r="DE24"/>
          <cell r="DF24"/>
          <cell r="DG24"/>
          <cell r="DH24"/>
          <cell r="DI24"/>
          <cell r="DJ24"/>
          <cell r="DK24"/>
          <cell r="DL24"/>
          <cell r="DM24"/>
          <cell r="DN24"/>
          <cell r="DO24"/>
          <cell r="DP24"/>
          <cell r="DQ24"/>
          <cell r="DR24"/>
          <cell r="DS24"/>
          <cell r="DT24"/>
          <cell r="DU24"/>
          <cell r="DV24"/>
          <cell r="DW24"/>
          <cell r="DX24"/>
          <cell r="ED24" t="str">
            <v>DT180-08</v>
          </cell>
          <cell r="EJ24" t="str">
            <v>DT180-10</v>
          </cell>
          <cell r="EK24" t="str">
            <v>DT180-10</v>
          </cell>
          <cell r="EL24" t="str">
            <v>DT180-09</v>
          </cell>
          <cell r="EM24" t="str">
            <v>Truck</v>
          </cell>
          <cell r="EN24" t="str">
            <v>789C-2BW</v>
          </cell>
          <cell r="ES24" t="str">
            <v>785C-APX1365.FR.CC.0 BRK OIL COOLER</v>
          </cell>
          <cell r="ET24" t="str">
            <v>785C-APX</v>
          </cell>
          <cell r="EV24" t="str">
            <v>1365.FR.CC.0 BRK OIL COOLER</v>
          </cell>
          <cell r="EW24">
            <v>3410.81</v>
          </cell>
          <cell r="EX24">
            <v>195</v>
          </cell>
        </row>
        <row r="25">
          <cell r="A25" t="str">
            <v>3030.00.CC.2RB TRANSMISSION</v>
          </cell>
          <cell r="B25" t="str">
            <v>YES</v>
          </cell>
          <cell r="M25" t="str">
            <v>1803.00.CC.0 AIR COMPRESSOR</v>
          </cell>
          <cell r="N25"/>
          <cell r="O25"/>
          <cell r="P25"/>
          <cell r="Q25"/>
          <cell r="R25"/>
          <cell r="S25"/>
          <cell r="T25"/>
          <cell r="U25"/>
          <cell r="V25"/>
          <cell r="W25"/>
          <cell r="X25"/>
          <cell r="Y25"/>
          <cell r="Z25"/>
          <cell r="AA25"/>
          <cell r="AB25"/>
          <cell r="AC25"/>
          <cell r="AD25"/>
          <cell r="AE25"/>
          <cell r="AF25"/>
          <cell r="AG25"/>
          <cell r="AH25"/>
          <cell r="AI25"/>
          <cell r="AJ25"/>
          <cell r="AK25"/>
          <cell r="AL25"/>
          <cell r="AM25"/>
          <cell r="AN25"/>
          <cell r="AO25"/>
          <cell r="AP25"/>
          <cell r="AQ25"/>
          <cell r="AR25"/>
          <cell r="AS25"/>
          <cell r="AT25"/>
          <cell r="AU25"/>
          <cell r="AV25"/>
          <cell r="AW25"/>
          <cell r="AX25"/>
          <cell r="AY25"/>
          <cell r="AZ25"/>
          <cell r="BA25"/>
          <cell r="BB25"/>
          <cell r="BC25"/>
          <cell r="BD25"/>
          <cell r="BE25"/>
          <cell r="BF25"/>
          <cell r="BG25"/>
          <cell r="BH25"/>
          <cell r="BI25"/>
          <cell r="BJ25"/>
          <cell r="BK25"/>
          <cell r="BL25"/>
          <cell r="BM25"/>
          <cell r="BN25"/>
          <cell r="BO25"/>
          <cell r="BP25"/>
          <cell r="BQ25"/>
          <cell r="BR25"/>
          <cell r="BS25"/>
          <cell r="BT25"/>
          <cell r="BU25"/>
          <cell r="BV25"/>
          <cell r="BW25"/>
          <cell r="BX25"/>
          <cell r="BY25"/>
          <cell r="BZ25"/>
          <cell r="CA25"/>
          <cell r="CB25"/>
          <cell r="CC25"/>
          <cell r="CD25"/>
          <cell r="CE25"/>
          <cell r="CF25"/>
          <cell r="CG25"/>
          <cell r="CH25"/>
          <cell r="CI25"/>
          <cell r="CJ25"/>
          <cell r="CK25"/>
          <cell r="CL25"/>
          <cell r="CM25"/>
          <cell r="CN25"/>
          <cell r="CO25"/>
          <cell r="CP25"/>
          <cell r="CQ25"/>
          <cell r="CR25"/>
          <cell r="CS25"/>
          <cell r="CT25"/>
          <cell r="CU25"/>
          <cell r="CV25"/>
          <cell r="CW25"/>
          <cell r="CX25"/>
          <cell r="CY25"/>
          <cell r="CZ25"/>
          <cell r="DA25"/>
          <cell r="DB25"/>
          <cell r="DC25"/>
          <cell r="DD25"/>
          <cell r="DE25"/>
          <cell r="DF25"/>
          <cell r="DG25"/>
          <cell r="DH25"/>
          <cell r="DI25"/>
          <cell r="DJ25"/>
          <cell r="DK25"/>
          <cell r="DL25"/>
          <cell r="DM25"/>
          <cell r="DN25"/>
          <cell r="DO25"/>
          <cell r="DP25"/>
          <cell r="DQ25"/>
          <cell r="DR25"/>
          <cell r="DS25"/>
          <cell r="DT25"/>
          <cell r="DU25"/>
          <cell r="DV25"/>
          <cell r="DW25"/>
          <cell r="DX25"/>
          <cell r="ED25"/>
          <cell r="EL25" t="str">
            <v>DT180-10</v>
          </cell>
          <cell r="EM25" t="str">
            <v>Truck</v>
          </cell>
          <cell r="EN25" t="str">
            <v>789C-2BW</v>
          </cell>
          <cell r="ES25" t="str">
            <v>785C-APX1365.RE.CC.0 BRK OIL COOLER</v>
          </cell>
          <cell r="ET25" t="str">
            <v>785C-APX</v>
          </cell>
          <cell r="EV25" t="str">
            <v>1365.RE.CC.0 BRK OIL COOLER</v>
          </cell>
          <cell r="EW25">
            <v>3378.55</v>
          </cell>
          <cell r="EX25">
            <v>195</v>
          </cell>
        </row>
        <row r="26">
          <cell r="A26" t="str">
            <v>3030.00.RM.0 TRANSMISSION</v>
          </cell>
          <cell r="B26" t="str">
            <v>YES</v>
          </cell>
          <cell r="M26" t="str">
            <v>3030.00.CC.2RB TRANSMISSION</v>
          </cell>
          <cell r="N26"/>
          <cell r="O26"/>
          <cell r="P26"/>
          <cell r="Q26"/>
          <cell r="R26"/>
          <cell r="S26"/>
          <cell r="T26"/>
          <cell r="U26"/>
          <cell r="V26"/>
          <cell r="W26"/>
          <cell r="X26"/>
          <cell r="Y26"/>
          <cell r="Z26"/>
          <cell r="AA26"/>
          <cell r="AB26"/>
          <cell r="AC26"/>
          <cell r="AD26"/>
          <cell r="AE26"/>
          <cell r="AF26"/>
          <cell r="AG26"/>
          <cell r="AH26"/>
          <cell r="AI26"/>
          <cell r="AJ26"/>
          <cell r="AK26"/>
          <cell r="AL26"/>
          <cell r="AM26"/>
          <cell r="AN26"/>
          <cell r="AO26"/>
          <cell r="AP26"/>
          <cell r="AQ26"/>
          <cell r="AR26"/>
          <cell r="AS26"/>
          <cell r="AT26"/>
          <cell r="AU26"/>
          <cell r="AV26"/>
          <cell r="AW26"/>
          <cell r="AX26"/>
          <cell r="AY26"/>
          <cell r="AZ26"/>
          <cell r="BA26"/>
          <cell r="BB26"/>
          <cell r="BC26"/>
          <cell r="BD26"/>
          <cell r="BE26"/>
          <cell r="BF26"/>
          <cell r="BG26"/>
          <cell r="BH26"/>
          <cell r="BI26"/>
          <cell r="BJ26"/>
          <cell r="BK26"/>
          <cell r="BL26"/>
          <cell r="BM26"/>
          <cell r="BN26"/>
          <cell r="BO26"/>
          <cell r="BP26"/>
          <cell r="BQ26"/>
          <cell r="BR26"/>
          <cell r="BS26"/>
          <cell r="BT26"/>
          <cell r="BU26"/>
          <cell r="BV26"/>
          <cell r="BW26"/>
          <cell r="BX26"/>
          <cell r="BY26"/>
          <cell r="BZ26"/>
          <cell r="CA26"/>
          <cell r="CB26"/>
          <cell r="CC26"/>
          <cell r="CD26"/>
          <cell r="CE26"/>
          <cell r="CF26"/>
          <cell r="CG26"/>
          <cell r="CH26"/>
          <cell r="CI26"/>
          <cell r="CJ26"/>
          <cell r="CK26"/>
          <cell r="CL26"/>
          <cell r="CM26"/>
          <cell r="CN26"/>
          <cell r="CO26"/>
          <cell r="CP26"/>
          <cell r="CQ26"/>
          <cell r="CR26"/>
          <cell r="CS26"/>
          <cell r="CT26"/>
          <cell r="CU26"/>
          <cell r="CV26"/>
          <cell r="CW26"/>
          <cell r="CX26"/>
          <cell r="CY26"/>
          <cell r="CZ26"/>
          <cell r="DA26"/>
          <cell r="DB26"/>
          <cell r="DC26"/>
          <cell r="DD26"/>
          <cell r="DE26"/>
          <cell r="DF26"/>
          <cell r="DG26"/>
          <cell r="DH26"/>
          <cell r="DI26"/>
          <cell r="DJ26"/>
          <cell r="DK26"/>
          <cell r="DL26"/>
          <cell r="DM26"/>
          <cell r="DN26"/>
          <cell r="DO26"/>
          <cell r="DP26"/>
          <cell r="DQ26"/>
          <cell r="DR26"/>
          <cell r="DS26"/>
          <cell r="DT26"/>
          <cell r="DU26"/>
          <cell r="DV26"/>
          <cell r="DW26"/>
          <cell r="DX26"/>
          <cell r="ED26"/>
          <cell r="ES26" t="str">
            <v>785C-APX1375.00.CC.0 TORQUE CONVERTER/TRANSMISSION OIL COOLER</v>
          </cell>
          <cell r="ET26" t="str">
            <v>785C-APX</v>
          </cell>
          <cell r="EV26" t="str">
            <v>1375.00.CC.0 TORQUE CONVERTER/TRANSMISSION OIL COOLER</v>
          </cell>
          <cell r="EW26">
            <v>2283.37</v>
          </cell>
          <cell r="EX26">
            <v>260</v>
          </cell>
        </row>
        <row r="27">
          <cell r="A27" t="str">
            <v>3066.00.CC.0 TRANSMISSION OIL PUMP</v>
          </cell>
          <cell r="B27" t="str">
            <v>YES</v>
          </cell>
          <cell r="M27" t="str">
            <v>3030.00.RM.0 TRANSMISSION</v>
          </cell>
          <cell r="N27"/>
          <cell r="O27"/>
          <cell r="P27"/>
          <cell r="Q27"/>
          <cell r="R27"/>
          <cell r="S27"/>
          <cell r="T27"/>
          <cell r="U27"/>
          <cell r="V27"/>
          <cell r="W27"/>
          <cell r="X27"/>
          <cell r="Y27"/>
          <cell r="Z27"/>
          <cell r="AA27"/>
          <cell r="AB27"/>
          <cell r="AC27"/>
          <cell r="AD27"/>
          <cell r="AE27"/>
          <cell r="AF27"/>
          <cell r="AG27"/>
          <cell r="AH27"/>
          <cell r="AI27"/>
          <cell r="AJ27"/>
          <cell r="AK27"/>
          <cell r="AL27"/>
          <cell r="AM27"/>
          <cell r="AN27"/>
          <cell r="AO27"/>
          <cell r="AP27"/>
          <cell r="AQ27"/>
          <cell r="AR27"/>
          <cell r="AS27"/>
          <cell r="AT27"/>
          <cell r="AU27"/>
          <cell r="AV27"/>
          <cell r="AW27"/>
          <cell r="AX27"/>
          <cell r="AY27"/>
          <cell r="AZ27"/>
          <cell r="BA27"/>
          <cell r="BB27"/>
          <cell r="BC27"/>
          <cell r="BD27"/>
          <cell r="BE27"/>
          <cell r="BF27"/>
          <cell r="BG27"/>
          <cell r="BH27"/>
          <cell r="BI27"/>
          <cell r="BJ27"/>
          <cell r="BK27"/>
          <cell r="BL27"/>
          <cell r="BM27"/>
          <cell r="BN27"/>
          <cell r="BO27"/>
          <cell r="BP27"/>
          <cell r="BQ27"/>
          <cell r="BR27"/>
          <cell r="BS27"/>
          <cell r="BT27"/>
          <cell r="BU27"/>
          <cell r="BV27"/>
          <cell r="BW27"/>
          <cell r="BX27"/>
          <cell r="BY27"/>
          <cell r="BZ27"/>
          <cell r="CA27"/>
          <cell r="CB27"/>
          <cell r="CC27"/>
          <cell r="CD27"/>
          <cell r="CE27"/>
          <cell r="CF27"/>
          <cell r="CG27"/>
          <cell r="CH27"/>
          <cell r="CI27"/>
          <cell r="CJ27"/>
          <cell r="CK27"/>
          <cell r="CL27"/>
          <cell r="CM27"/>
          <cell r="CN27"/>
          <cell r="CO27"/>
          <cell r="CP27"/>
          <cell r="CQ27"/>
          <cell r="CR27"/>
          <cell r="CS27"/>
          <cell r="CT27"/>
          <cell r="CU27"/>
          <cell r="CV27"/>
          <cell r="CW27"/>
          <cell r="CX27"/>
          <cell r="CY27"/>
          <cell r="CZ27"/>
          <cell r="DA27"/>
          <cell r="DB27"/>
          <cell r="DC27"/>
          <cell r="DD27"/>
          <cell r="DE27"/>
          <cell r="DF27"/>
          <cell r="DG27"/>
          <cell r="DH27"/>
          <cell r="DI27"/>
          <cell r="DJ27"/>
          <cell r="DK27"/>
          <cell r="DL27"/>
          <cell r="DM27"/>
          <cell r="DN27"/>
          <cell r="DO27"/>
          <cell r="DP27"/>
          <cell r="DQ27"/>
          <cell r="DR27"/>
          <cell r="DS27"/>
          <cell r="DT27"/>
          <cell r="DU27"/>
          <cell r="DV27"/>
          <cell r="DW27"/>
          <cell r="DX27"/>
          <cell r="ED27"/>
          <cell r="ES27" t="str">
            <v>785C-APX1395.CLT.CC.0 ENGINE COOLANT</v>
          </cell>
          <cell r="ET27" t="str">
            <v>785C-APX</v>
          </cell>
          <cell r="EV27" t="str">
            <v>1395.CLT.CC.0 ENGINE COOLANT</v>
          </cell>
          <cell r="EW27">
            <v>0</v>
          </cell>
          <cell r="EX27">
            <v>0</v>
          </cell>
        </row>
        <row r="28">
          <cell r="A28" t="str">
            <v>3101.00.CC.2RB TORQUE CONVERTER</v>
          </cell>
          <cell r="B28" t="str">
            <v>YES</v>
          </cell>
          <cell r="M28" t="str">
            <v>3066.00.CC.0 TRANSMISSION OIL PUMP</v>
          </cell>
          <cell r="N28"/>
          <cell r="O28"/>
          <cell r="P28"/>
          <cell r="Q28"/>
          <cell r="R28"/>
          <cell r="S28"/>
          <cell r="T28"/>
          <cell r="U28"/>
          <cell r="V28"/>
          <cell r="W28"/>
          <cell r="X28"/>
          <cell r="Y28"/>
          <cell r="Z28"/>
          <cell r="AA28"/>
          <cell r="AB28"/>
          <cell r="AC28"/>
          <cell r="AD28"/>
          <cell r="AE28"/>
          <cell r="AF28"/>
          <cell r="AG28"/>
          <cell r="AH28"/>
          <cell r="AI28"/>
          <cell r="AJ28"/>
          <cell r="AK28"/>
          <cell r="AL28"/>
          <cell r="AM28"/>
          <cell r="AN28"/>
          <cell r="AO28"/>
          <cell r="AP28"/>
          <cell r="AQ28"/>
          <cell r="AR28"/>
          <cell r="AS28"/>
          <cell r="AT28"/>
          <cell r="AU28"/>
          <cell r="AV28"/>
          <cell r="AW28"/>
          <cell r="AX28"/>
          <cell r="AY28"/>
          <cell r="AZ28"/>
          <cell r="BA28"/>
          <cell r="BB28"/>
          <cell r="BC28"/>
          <cell r="BD28"/>
          <cell r="BE28"/>
          <cell r="BF28"/>
          <cell r="BG28"/>
          <cell r="BH28"/>
          <cell r="BI28"/>
          <cell r="BJ28"/>
          <cell r="BK28"/>
          <cell r="BL28"/>
          <cell r="BM28"/>
          <cell r="BN28"/>
          <cell r="BO28"/>
          <cell r="BP28"/>
          <cell r="BQ28"/>
          <cell r="BR28"/>
          <cell r="BS28"/>
          <cell r="BT28"/>
          <cell r="BU28"/>
          <cell r="BV28"/>
          <cell r="BW28"/>
          <cell r="BX28"/>
          <cell r="BY28"/>
          <cell r="BZ28"/>
          <cell r="CA28"/>
          <cell r="CB28"/>
          <cell r="CC28"/>
          <cell r="CD28"/>
          <cell r="CE28"/>
          <cell r="CF28"/>
          <cell r="CG28"/>
          <cell r="CH28"/>
          <cell r="CI28"/>
          <cell r="CJ28"/>
          <cell r="CK28"/>
          <cell r="CL28"/>
          <cell r="CM28"/>
          <cell r="CN28"/>
          <cell r="CO28"/>
          <cell r="CP28"/>
          <cell r="CQ28"/>
          <cell r="CR28"/>
          <cell r="CS28"/>
          <cell r="CT28"/>
          <cell r="CU28"/>
          <cell r="CV28"/>
          <cell r="CW28"/>
          <cell r="CX28"/>
          <cell r="CY28"/>
          <cell r="CZ28"/>
          <cell r="DA28"/>
          <cell r="DB28"/>
          <cell r="DC28"/>
          <cell r="DD28"/>
          <cell r="DE28"/>
          <cell r="DF28"/>
          <cell r="DG28"/>
          <cell r="DH28"/>
          <cell r="DI28"/>
          <cell r="DJ28"/>
          <cell r="DK28"/>
          <cell r="DL28"/>
          <cell r="DM28"/>
          <cell r="DN28"/>
          <cell r="DO28"/>
          <cell r="DP28"/>
          <cell r="DQ28"/>
          <cell r="DR28"/>
          <cell r="DS28"/>
          <cell r="DT28"/>
          <cell r="DU28"/>
          <cell r="DV28"/>
          <cell r="DW28"/>
          <cell r="DX28"/>
          <cell r="ED28"/>
          <cell r="ES28" t="str">
            <v>785C-APX1395.CXT.CC.0 ENGINE COOLANT</v>
          </cell>
          <cell r="ET28" t="str">
            <v>785C-APX</v>
          </cell>
          <cell r="EV28" t="str">
            <v>1395.CXT.CC.0 ENGINE COOLANT</v>
          </cell>
          <cell r="EW28">
            <v>99.62</v>
          </cell>
          <cell r="EX28">
            <v>0</v>
          </cell>
        </row>
        <row r="29">
          <cell r="A29" t="str">
            <v>3108.00.CC.2RB PUMP DRIVE GRP</v>
          </cell>
          <cell r="B29" t="str">
            <v>YES</v>
          </cell>
          <cell r="M29" t="str">
            <v>3101.00.CC.2RB TORQUE CONVERTER</v>
          </cell>
          <cell r="N29"/>
          <cell r="O29"/>
          <cell r="P29"/>
          <cell r="Q29"/>
          <cell r="R29"/>
          <cell r="S29"/>
          <cell r="T29"/>
          <cell r="U29"/>
          <cell r="V29"/>
          <cell r="W29"/>
          <cell r="X29"/>
          <cell r="Y29"/>
          <cell r="Z29"/>
          <cell r="AA29"/>
          <cell r="AB29"/>
          <cell r="AC29"/>
          <cell r="AD29"/>
          <cell r="AE29"/>
          <cell r="AF29"/>
          <cell r="AG29"/>
          <cell r="AH29"/>
          <cell r="AI29"/>
          <cell r="AJ29"/>
          <cell r="AK29"/>
          <cell r="AL29"/>
          <cell r="AM29"/>
          <cell r="AN29"/>
          <cell r="AO29"/>
          <cell r="AP29"/>
          <cell r="AQ29"/>
          <cell r="AR29"/>
          <cell r="AS29"/>
          <cell r="AT29"/>
          <cell r="AU29"/>
          <cell r="AV29"/>
          <cell r="AW29"/>
          <cell r="AX29"/>
          <cell r="AY29"/>
          <cell r="AZ29"/>
          <cell r="BA29"/>
          <cell r="BB29"/>
          <cell r="BC29"/>
          <cell r="BD29"/>
          <cell r="BE29"/>
          <cell r="BF29"/>
          <cell r="BG29"/>
          <cell r="BH29"/>
          <cell r="BI29"/>
          <cell r="BJ29"/>
          <cell r="BK29"/>
          <cell r="BL29"/>
          <cell r="BM29"/>
          <cell r="BN29"/>
          <cell r="BO29"/>
          <cell r="BP29"/>
          <cell r="BQ29"/>
          <cell r="BR29"/>
          <cell r="BS29"/>
          <cell r="BT29"/>
          <cell r="BU29"/>
          <cell r="BV29"/>
          <cell r="BW29"/>
          <cell r="BX29"/>
          <cell r="BY29"/>
          <cell r="BZ29"/>
          <cell r="CA29"/>
          <cell r="CB29"/>
          <cell r="CC29"/>
          <cell r="CD29"/>
          <cell r="CE29"/>
          <cell r="CF29"/>
          <cell r="CG29"/>
          <cell r="CH29"/>
          <cell r="CI29"/>
          <cell r="CJ29"/>
          <cell r="CK29"/>
          <cell r="CL29"/>
          <cell r="CM29"/>
          <cell r="CN29"/>
          <cell r="CO29"/>
          <cell r="CP29"/>
          <cell r="CQ29"/>
          <cell r="CR29"/>
          <cell r="CS29"/>
          <cell r="CT29"/>
          <cell r="CU29"/>
          <cell r="CV29"/>
          <cell r="CW29"/>
          <cell r="CX29"/>
          <cell r="CY29"/>
          <cell r="CZ29"/>
          <cell r="DA29"/>
          <cell r="DB29"/>
          <cell r="DC29"/>
          <cell r="DD29"/>
          <cell r="DE29"/>
          <cell r="DF29"/>
          <cell r="DG29"/>
          <cell r="DH29"/>
          <cell r="DI29"/>
          <cell r="DJ29"/>
          <cell r="DK29"/>
          <cell r="DL29"/>
          <cell r="DM29"/>
          <cell r="DN29"/>
          <cell r="DO29"/>
          <cell r="DP29"/>
          <cell r="DQ29"/>
          <cell r="DR29"/>
          <cell r="DS29"/>
          <cell r="DT29"/>
          <cell r="DU29"/>
          <cell r="DV29"/>
          <cell r="DW29"/>
          <cell r="DX29"/>
          <cell r="ED29"/>
          <cell r="ES29" t="str">
            <v>785C-APX1400.00.GR.0 ELECTRIC SYSTEM</v>
          </cell>
          <cell r="ET29" t="str">
            <v>785C-APX</v>
          </cell>
          <cell r="EV29" t="str">
            <v>1400.00.GR.0 ELECTRIC SYSTEM</v>
          </cell>
          <cell r="EW29">
            <v>2135.9654999999998</v>
          </cell>
          <cell r="EX29">
            <v>780</v>
          </cell>
        </row>
        <row r="30">
          <cell r="A30" t="str">
            <v>3251.MV.CC.0 UNIVERSAL JOINT</v>
          </cell>
          <cell r="B30" t="str">
            <v>YES</v>
          </cell>
          <cell r="M30" t="str">
            <v>3108.00.CC.2RB PUMP DRIVE GRP</v>
          </cell>
          <cell r="N30"/>
          <cell r="O30"/>
          <cell r="P30"/>
          <cell r="Q30"/>
          <cell r="R30"/>
          <cell r="S30"/>
          <cell r="T30"/>
          <cell r="U30"/>
          <cell r="V30"/>
          <cell r="W30" t="str">
            <v>DT150-10</v>
          </cell>
          <cell r="X30"/>
          <cell r="Y30"/>
          <cell r="Z30"/>
          <cell r="AA30"/>
          <cell r="AB30"/>
          <cell r="AC30"/>
          <cell r="AD30"/>
          <cell r="AE30"/>
          <cell r="AF30"/>
          <cell r="AG30"/>
          <cell r="AH30"/>
          <cell r="AI30"/>
          <cell r="AJ30"/>
          <cell r="AK30"/>
          <cell r="AL30"/>
          <cell r="AM30"/>
          <cell r="AN30"/>
          <cell r="AO30"/>
          <cell r="AP30"/>
          <cell r="AQ30"/>
          <cell r="AR30"/>
          <cell r="AS30"/>
          <cell r="AT30"/>
          <cell r="AU30"/>
          <cell r="AV30"/>
          <cell r="AW30"/>
          <cell r="AX30"/>
          <cell r="AY30"/>
          <cell r="AZ30"/>
          <cell r="BA30"/>
          <cell r="BB30"/>
          <cell r="BC30"/>
          <cell r="BD30"/>
          <cell r="BE30"/>
          <cell r="BF30"/>
          <cell r="BG30"/>
          <cell r="BH30"/>
          <cell r="BI30"/>
          <cell r="BJ30"/>
          <cell r="BK30"/>
          <cell r="BL30"/>
          <cell r="BM30"/>
          <cell r="BN30"/>
          <cell r="BO30"/>
          <cell r="BP30"/>
          <cell r="BQ30"/>
          <cell r="BR30"/>
          <cell r="BS30"/>
          <cell r="BT30"/>
          <cell r="BU30"/>
          <cell r="BV30"/>
          <cell r="BW30"/>
          <cell r="BX30"/>
          <cell r="BY30"/>
          <cell r="BZ30"/>
          <cell r="CA30"/>
          <cell r="CB30"/>
          <cell r="CC30"/>
          <cell r="CD30"/>
          <cell r="CE30"/>
          <cell r="CF30"/>
          <cell r="CG30"/>
          <cell r="CH30"/>
          <cell r="CI30"/>
          <cell r="CJ30"/>
          <cell r="CK30"/>
          <cell r="CL30"/>
          <cell r="CM30"/>
          <cell r="CN30"/>
          <cell r="CO30"/>
          <cell r="CP30"/>
          <cell r="CQ30"/>
          <cell r="CR30"/>
          <cell r="CS30"/>
          <cell r="CT30"/>
          <cell r="CU30"/>
          <cell r="CV30"/>
          <cell r="CW30"/>
          <cell r="CX30"/>
          <cell r="CY30"/>
          <cell r="CZ30"/>
          <cell r="DA30"/>
          <cell r="DB30"/>
          <cell r="DC30"/>
          <cell r="DD30"/>
          <cell r="DE30"/>
          <cell r="DF30"/>
          <cell r="DG30"/>
          <cell r="DH30"/>
          <cell r="DI30"/>
          <cell r="DJ30"/>
          <cell r="DK30"/>
          <cell r="DL30"/>
          <cell r="DM30"/>
          <cell r="DN30"/>
          <cell r="DO30"/>
          <cell r="DP30"/>
          <cell r="DQ30"/>
          <cell r="DR30"/>
          <cell r="DS30"/>
          <cell r="DT30"/>
          <cell r="DU30"/>
          <cell r="DV30"/>
          <cell r="DW30"/>
          <cell r="DX30"/>
          <cell r="ED30" t="str">
            <v>DT150-10</v>
          </cell>
          <cell r="ES30" t="str">
            <v>785C-APX1400.00.RM.0 ELECTRIC SYSTEM</v>
          </cell>
          <cell r="ET30" t="str">
            <v>785C-APX</v>
          </cell>
          <cell r="EV30" t="str">
            <v>1400.00.RM.0 ELECTRIC SYSTEM</v>
          </cell>
          <cell r="EW30">
            <v>0</v>
          </cell>
          <cell r="EX30">
            <v>65</v>
          </cell>
        </row>
        <row r="31">
          <cell r="A31" t="str">
            <v>3251.PD.CC.0 UNIVERSAL JOINT</v>
          </cell>
          <cell r="B31" t="str">
            <v>YES</v>
          </cell>
          <cell r="M31" t="str">
            <v>3251.MV.CC.0 UNIVERSAL JOINT</v>
          </cell>
          <cell r="N31"/>
          <cell r="O31"/>
          <cell r="P31"/>
          <cell r="Q31"/>
          <cell r="R31"/>
          <cell r="S31"/>
          <cell r="T31"/>
          <cell r="U31"/>
          <cell r="V31"/>
          <cell r="W31" t="str">
            <v>DT150-10</v>
          </cell>
          <cell r="X31"/>
          <cell r="Y31"/>
          <cell r="Z31"/>
          <cell r="AA31"/>
          <cell r="AB31"/>
          <cell r="AC31"/>
          <cell r="AD31"/>
          <cell r="AE31"/>
          <cell r="AF31"/>
          <cell r="AG31"/>
          <cell r="AH31"/>
          <cell r="AI31"/>
          <cell r="AJ31"/>
          <cell r="AK31"/>
          <cell r="AL31"/>
          <cell r="AM31"/>
          <cell r="AN31"/>
          <cell r="AO31"/>
          <cell r="AP31"/>
          <cell r="AQ31"/>
          <cell r="AR31"/>
          <cell r="AS31"/>
          <cell r="AT31"/>
          <cell r="AU31"/>
          <cell r="AV31"/>
          <cell r="AW31"/>
          <cell r="AX31"/>
          <cell r="AY31"/>
          <cell r="AZ31"/>
          <cell r="BA31"/>
          <cell r="BB31"/>
          <cell r="BC31"/>
          <cell r="BD31"/>
          <cell r="BE31"/>
          <cell r="BF31"/>
          <cell r="BG31"/>
          <cell r="BH31"/>
          <cell r="BI31"/>
          <cell r="BJ31"/>
          <cell r="BK31"/>
          <cell r="BL31"/>
          <cell r="BM31"/>
          <cell r="BN31"/>
          <cell r="BO31"/>
          <cell r="BP31"/>
          <cell r="BQ31"/>
          <cell r="BR31"/>
          <cell r="BS31"/>
          <cell r="BT31"/>
          <cell r="BU31"/>
          <cell r="BV31"/>
          <cell r="BW31"/>
          <cell r="BX31"/>
          <cell r="BY31"/>
          <cell r="BZ31"/>
          <cell r="CA31"/>
          <cell r="CB31"/>
          <cell r="CC31"/>
          <cell r="CD31"/>
          <cell r="CE31"/>
          <cell r="CF31"/>
          <cell r="CG31"/>
          <cell r="CH31"/>
          <cell r="CI31"/>
          <cell r="CJ31"/>
          <cell r="CK31"/>
          <cell r="CL31"/>
          <cell r="CM31"/>
          <cell r="CN31"/>
          <cell r="CO31"/>
          <cell r="CP31"/>
          <cell r="CQ31"/>
          <cell r="CR31"/>
          <cell r="CS31"/>
          <cell r="CT31"/>
          <cell r="CU31"/>
          <cell r="CV31"/>
          <cell r="CW31"/>
          <cell r="CX31"/>
          <cell r="CY31"/>
          <cell r="CZ31"/>
          <cell r="DA31"/>
          <cell r="DB31"/>
          <cell r="DC31"/>
          <cell r="DD31"/>
          <cell r="DE31"/>
          <cell r="DF31"/>
          <cell r="DG31"/>
          <cell r="DH31"/>
          <cell r="DI31"/>
          <cell r="DJ31"/>
          <cell r="DK31"/>
          <cell r="DL31"/>
          <cell r="DM31"/>
          <cell r="DN31"/>
          <cell r="DO31"/>
          <cell r="DP31"/>
          <cell r="DQ31"/>
          <cell r="DR31"/>
          <cell r="DS31"/>
          <cell r="DT31"/>
          <cell r="DU31"/>
          <cell r="DV31"/>
          <cell r="DW31"/>
          <cell r="DX31"/>
          <cell r="ED31" t="str">
            <v>DT150-10</v>
          </cell>
          <cell r="ES31" t="str">
            <v>785C-APX1401.BT1.CC.0 BATTERY</v>
          </cell>
          <cell r="ET31" t="str">
            <v>785C-APX</v>
          </cell>
          <cell r="EV31" t="str">
            <v>1401.BT1.CC.0 BATTERY</v>
          </cell>
          <cell r="EW31">
            <v>272.41000000000003</v>
          </cell>
          <cell r="EX31">
            <v>130</v>
          </cell>
        </row>
        <row r="32">
          <cell r="A32" t="str">
            <v>3253.MV.CC.0 DRIVESHAFT</v>
          </cell>
          <cell r="B32" t="str">
            <v>YES</v>
          </cell>
          <cell r="M32" t="str">
            <v>3251.PD.CC.0 UNIVERSAL JOINT</v>
          </cell>
          <cell r="N32"/>
          <cell r="O32"/>
          <cell r="P32"/>
          <cell r="Q32"/>
          <cell r="R32"/>
          <cell r="S32"/>
          <cell r="T32"/>
          <cell r="U32"/>
          <cell r="V32"/>
          <cell r="W32" t="str">
            <v>DT150-10</v>
          </cell>
          <cell r="X32"/>
          <cell r="Y32"/>
          <cell r="Z32"/>
          <cell r="AA32"/>
          <cell r="AB32"/>
          <cell r="AC32"/>
          <cell r="AD32"/>
          <cell r="AE32"/>
          <cell r="AF32"/>
          <cell r="AG32"/>
          <cell r="AH32"/>
          <cell r="AI32"/>
          <cell r="AJ32"/>
          <cell r="AK32"/>
          <cell r="AL32"/>
          <cell r="AM32"/>
          <cell r="AN32"/>
          <cell r="AO32"/>
          <cell r="AP32"/>
          <cell r="AQ32"/>
          <cell r="AR32"/>
          <cell r="AS32"/>
          <cell r="AT32"/>
          <cell r="AU32"/>
          <cell r="AV32"/>
          <cell r="AW32"/>
          <cell r="AX32"/>
          <cell r="AY32"/>
          <cell r="AZ32"/>
          <cell r="BA32"/>
          <cell r="BB32"/>
          <cell r="BC32"/>
          <cell r="BD32"/>
          <cell r="BE32"/>
          <cell r="BF32"/>
          <cell r="BG32"/>
          <cell r="BH32"/>
          <cell r="BI32"/>
          <cell r="BJ32"/>
          <cell r="BK32"/>
          <cell r="BL32"/>
          <cell r="BM32"/>
          <cell r="BN32"/>
          <cell r="BO32"/>
          <cell r="BP32"/>
          <cell r="BQ32"/>
          <cell r="BR32"/>
          <cell r="BS32"/>
          <cell r="BT32"/>
          <cell r="BU32"/>
          <cell r="BV32"/>
          <cell r="BW32"/>
          <cell r="BX32"/>
          <cell r="BY32"/>
          <cell r="BZ32"/>
          <cell r="CA32"/>
          <cell r="CB32"/>
          <cell r="CC32"/>
          <cell r="CD32"/>
          <cell r="CE32"/>
          <cell r="CF32"/>
          <cell r="CG32"/>
          <cell r="CH32"/>
          <cell r="CI32"/>
          <cell r="CJ32"/>
          <cell r="CK32"/>
          <cell r="CL32"/>
          <cell r="CM32"/>
          <cell r="CN32"/>
          <cell r="CO32"/>
          <cell r="CP32"/>
          <cell r="CQ32"/>
          <cell r="CR32"/>
          <cell r="CS32"/>
          <cell r="CT32"/>
          <cell r="CU32"/>
          <cell r="CV32"/>
          <cell r="CW32"/>
          <cell r="CX32"/>
          <cell r="CY32"/>
          <cell r="CZ32"/>
          <cell r="DA32"/>
          <cell r="DB32"/>
          <cell r="DC32"/>
          <cell r="DD32"/>
          <cell r="DE32"/>
          <cell r="DF32"/>
          <cell r="DG32"/>
          <cell r="DH32"/>
          <cell r="DI32"/>
          <cell r="DJ32"/>
          <cell r="DK32"/>
          <cell r="DL32"/>
          <cell r="DM32"/>
          <cell r="DN32"/>
          <cell r="DO32"/>
          <cell r="DP32"/>
          <cell r="DQ32"/>
          <cell r="DR32"/>
          <cell r="DS32"/>
          <cell r="DT32"/>
          <cell r="DU32"/>
          <cell r="DV32"/>
          <cell r="DW32"/>
          <cell r="DX32"/>
          <cell r="ED32" t="str">
            <v>DT150-10</v>
          </cell>
          <cell r="ES32" t="str">
            <v>785C-APX1401.BT2.CC.0 BATTERY</v>
          </cell>
          <cell r="ET32" t="str">
            <v>785C-APX</v>
          </cell>
          <cell r="EV32" t="str">
            <v>1401.BT2.CC.0 BATTERY</v>
          </cell>
          <cell r="EW32">
            <v>272.41000000000003</v>
          </cell>
          <cell r="EX32">
            <v>130</v>
          </cell>
        </row>
        <row r="33">
          <cell r="A33" t="str">
            <v>3258.00.CC.2RB DIFFERENTIAL</v>
          </cell>
          <cell r="B33" t="str">
            <v>YES</v>
          </cell>
          <cell r="M33" t="str">
            <v>3253.MV.CC.0 DRIVESHAFT</v>
          </cell>
          <cell r="N33"/>
          <cell r="O33"/>
          <cell r="P33"/>
          <cell r="Q33"/>
          <cell r="R33"/>
          <cell r="S33"/>
          <cell r="T33"/>
          <cell r="U33"/>
          <cell r="V33"/>
          <cell r="W33"/>
          <cell r="X33"/>
          <cell r="Y33"/>
          <cell r="Z33"/>
          <cell r="AA33"/>
          <cell r="AB33"/>
          <cell r="AC33"/>
          <cell r="AD33"/>
          <cell r="AE33"/>
          <cell r="AF33"/>
          <cell r="AG33"/>
          <cell r="AH33"/>
          <cell r="AI33"/>
          <cell r="AJ33"/>
          <cell r="AK33"/>
          <cell r="AL33"/>
          <cell r="AM33"/>
          <cell r="AN33"/>
          <cell r="AO33"/>
          <cell r="AP33"/>
          <cell r="AQ33"/>
          <cell r="AR33"/>
          <cell r="AS33"/>
          <cell r="AT33"/>
          <cell r="AU33"/>
          <cell r="AV33"/>
          <cell r="AW33"/>
          <cell r="AX33"/>
          <cell r="AY33"/>
          <cell r="AZ33"/>
          <cell r="BA33"/>
          <cell r="BB33"/>
          <cell r="BC33"/>
          <cell r="BD33"/>
          <cell r="BE33"/>
          <cell r="BF33"/>
          <cell r="BG33"/>
          <cell r="BH33"/>
          <cell r="BI33"/>
          <cell r="BJ33"/>
          <cell r="BK33"/>
          <cell r="BL33"/>
          <cell r="BM33"/>
          <cell r="BN33"/>
          <cell r="BO33"/>
          <cell r="BP33"/>
          <cell r="BQ33"/>
          <cell r="BR33"/>
          <cell r="BS33"/>
          <cell r="BT33"/>
          <cell r="BU33"/>
          <cell r="BV33"/>
          <cell r="BW33"/>
          <cell r="BX33"/>
          <cell r="BY33"/>
          <cell r="BZ33"/>
          <cell r="CA33"/>
          <cell r="CB33"/>
          <cell r="CC33"/>
          <cell r="CD33"/>
          <cell r="CE33"/>
          <cell r="CF33"/>
          <cell r="CG33"/>
          <cell r="CH33"/>
          <cell r="CI33"/>
          <cell r="CJ33"/>
          <cell r="CK33"/>
          <cell r="CL33"/>
          <cell r="CM33"/>
          <cell r="CN33"/>
          <cell r="CO33"/>
          <cell r="CP33"/>
          <cell r="CQ33"/>
          <cell r="CR33"/>
          <cell r="CS33"/>
          <cell r="CT33"/>
          <cell r="CU33"/>
          <cell r="CV33"/>
          <cell r="CW33"/>
          <cell r="CX33"/>
          <cell r="CY33"/>
          <cell r="CZ33"/>
          <cell r="DA33"/>
          <cell r="DB33"/>
          <cell r="DC33"/>
          <cell r="DD33"/>
          <cell r="DE33"/>
          <cell r="DF33"/>
          <cell r="DG33"/>
          <cell r="DH33"/>
          <cell r="DI33"/>
          <cell r="DJ33"/>
          <cell r="DK33"/>
          <cell r="DL33"/>
          <cell r="DM33"/>
          <cell r="DN33"/>
          <cell r="DO33"/>
          <cell r="DP33"/>
          <cell r="DQ33"/>
          <cell r="DR33"/>
          <cell r="DS33"/>
          <cell r="DT33"/>
          <cell r="DU33"/>
          <cell r="DV33"/>
          <cell r="DW33"/>
          <cell r="DX33"/>
          <cell r="ED33"/>
          <cell r="ES33" t="str">
            <v>785C-APX1405.00.CC.0 ALTERNATOR</v>
          </cell>
          <cell r="ET33" t="str">
            <v>785C-APX</v>
          </cell>
          <cell r="EV33" t="str">
            <v>1405.00.CC.0 ALTERNATOR</v>
          </cell>
          <cell r="EW33">
            <v>1574.6524999999999</v>
          </cell>
          <cell r="EX33">
            <v>162.5</v>
          </cell>
        </row>
        <row r="34">
          <cell r="A34" t="str">
            <v>3260.00.CO.AFRM AXLE HOUSING ASSEMBLY</v>
          </cell>
          <cell r="B34" t="str">
            <v>YES</v>
          </cell>
          <cell r="M34" t="str">
            <v>3258.00.CC.2RB DIFFERENTIAL</v>
          </cell>
          <cell r="N34"/>
          <cell r="O34"/>
          <cell r="P34"/>
          <cell r="Q34"/>
          <cell r="R34"/>
          <cell r="S34"/>
          <cell r="T34"/>
          <cell r="U34"/>
          <cell r="V34"/>
          <cell r="W34"/>
          <cell r="X34"/>
          <cell r="Y34"/>
          <cell r="Z34"/>
          <cell r="AA34"/>
          <cell r="AB34"/>
          <cell r="AC34"/>
          <cell r="AD34"/>
          <cell r="AE34"/>
          <cell r="AF34"/>
          <cell r="AG34"/>
          <cell r="AH34"/>
          <cell r="AI34"/>
          <cell r="AJ34"/>
          <cell r="AK34"/>
          <cell r="AL34"/>
          <cell r="AM34"/>
          <cell r="AN34"/>
          <cell r="AO34"/>
          <cell r="AP34"/>
          <cell r="AQ34"/>
          <cell r="AR34"/>
          <cell r="AS34"/>
          <cell r="AT34"/>
          <cell r="AU34"/>
          <cell r="AV34"/>
          <cell r="AW34"/>
          <cell r="AX34"/>
          <cell r="AY34"/>
          <cell r="AZ34"/>
          <cell r="BA34"/>
          <cell r="BB34"/>
          <cell r="BC34"/>
          <cell r="BD34"/>
          <cell r="BE34"/>
          <cell r="BF34"/>
          <cell r="BG34"/>
          <cell r="BH34"/>
          <cell r="BI34"/>
          <cell r="BJ34"/>
          <cell r="BK34"/>
          <cell r="BL34"/>
          <cell r="BM34"/>
          <cell r="BN34"/>
          <cell r="BO34"/>
          <cell r="BP34"/>
          <cell r="BQ34"/>
          <cell r="BR34"/>
          <cell r="BS34"/>
          <cell r="BT34"/>
          <cell r="BU34"/>
          <cell r="BV34"/>
          <cell r="BW34"/>
          <cell r="BX34"/>
          <cell r="BY34"/>
          <cell r="BZ34"/>
          <cell r="CA34"/>
          <cell r="CB34"/>
          <cell r="CC34"/>
          <cell r="CD34"/>
          <cell r="CE34"/>
          <cell r="CF34"/>
          <cell r="CG34"/>
          <cell r="CH34"/>
          <cell r="CI34"/>
          <cell r="CJ34"/>
          <cell r="CK34"/>
          <cell r="CL34"/>
          <cell r="CM34"/>
          <cell r="CN34"/>
          <cell r="CO34"/>
          <cell r="CP34"/>
          <cell r="CQ34"/>
          <cell r="CR34"/>
          <cell r="CS34"/>
          <cell r="CT34"/>
          <cell r="CU34"/>
          <cell r="CV34"/>
          <cell r="CW34"/>
          <cell r="CX34"/>
          <cell r="CY34"/>
          <cell r="CZ34"/>
          <cell r="DA34"/>
          <cell r="DB34"/>
          <cell r="DC34"/>
          <cell r="DD34"/>
          <cell r="DE34"/>
          <cell r="DF34"/>
          <cell r="DG34"/>
          <cell r="DH34"/>
          <cell r="DI34"/>
          <cell r="DJ34"/>
          <cell r="DK34"/>
          <cell r="DL34"/>
          <cell r="DM34"/>
          <cell r="DN34"/>
          <cell r="DO34"/>
          <cell r="DP34"/>
          <cell r="DQ34"/>
          <cell r="DR34"/>
          <cell r="DS34"/>
          <cell r="DT34"/>
          <cell r="DU34"/>
          <cell r="DV34"/>
          <cell r="DW34"/>
          <cell r="DX34"/>
          <cell r="ED34"/>
          <cell r="ES34" t="str">
            <v>785C-APX1405.BJ.CC.0 ALTERNATOR</v>
          </cell>
          <cell r="ET34" t="str">
            <v>785C-APX</v>
          </cell>
          <cell r="EV34" t="str">
            <v>1405.BJ.CC.0 ALTERNATOR</v>
          </cell>
          <cell r="EW34">
            <v>31.96</v>
          </cell>
          <cell r="EX34">
            <v>130</v>
          </cell>
        </row>
        <row r="35">
          <cell r="A35" t="str">
            <v>4008.LR.CC.2RB FINAL DRIVE, BRAKE AND WHEEL</v>
          </cell>
          <cell r="B35" t="str">
            <v>YES</v>
          </cell>
          <cell r="M35" t="str">
            <v>3260.00.CO.AFRM AXLE HOUSING ASSEMBLY</v>
          </cell>
          <cell r="N35"/>
          <cell r="O35"/>
          <cell r="P35"/>
          <cell r="Q35"/>
          <cell r="R35"/>
          <cell r="S35"/>
          <cell r="T35"/>
          <cell r="U35"/>
          <cell r="V35"/>
          <cell r="W35"/>
          <cell r="X35"/>
          <cell r="Y35"/>
          <cell r="Z35"/>
          <cell r="AA35"/>
          <cell r="AB35"/>
          <cell r="AC35"/>
          <cell r="AD35"/>
          <cell r="AE35"/>
          <cell r="AF35"/>
          <cell r="AG35"/>
          <cell r="AH35"/>
          <cell r="AI35"/>
          <cell r="AJ35"/>
          <cell r="AK35"/>
          <cell r="AL35"/>
          <cell r="AM35"/>
          <cell r="AN35"/>
          <cell r="AO35"/>
          <cell r="AP35"/>
          <cell r="AQ35"/>
          <cell r="AR35"/>
          <cell r="AS35"/>
          <cell r="AT35"/>
          <cell r="AU35"/>
          <cell r="AV35"/>
          <cell r="AW35"/>
          <cell r="AX35"/>
          <cell r="AY35"/>
          <cell r="AZ35"/>
          <cell r="BA35"/>
          <cell r="BB35"/>
          <cell r="BC35"/>
          <cell r="BD35"/>
          <cell r="BE35"/>
          <cell r="BF35"/>
          <cell r="BG35"/>
          <cell r="BH35"/>
          <cell r="BI35"/>
          <cell r="BJ35"/>
          <cell r="BK35"/>
          <cell r="BL35"/>
          <cell r="BM35"/>
          <cell r="BN35"/>
          <cell r="BO35"/>
          <cell r="BP35"/>
          <cell r="BQ35"/>
          <cell r="BR35"/>
          <cell r="BS35"/>
          <cell r="BT35"/>
          <cell r="BU35"/>
          <cell r="BV35"/>
          <cell r="BW35"/>
          <cell r="BX35"/>
          <cell r="BY35"/>
          <cell r="BZ35"/>
          <cell r="CA35"/>
          <cell r="CB35"/>
          <cell r="CC35"/>
          <cell r="CD35"/>
          <cell r="CE35"/>
          <cell r="CF35"/>
          <cell r="CG35"/>
          <cell r="CH35"/>
          <cell r="CI35"/>
          <cell r="CJ35"/>
          <cell r="CK35"/>
          <cell r="CL35"/>
          <cell r="CM35"/>
          <cell r="CN35"/>
          <cell r="CO35"/>
          <cell r="CP35"/>
          <cell r="CQ35"/>
          <cell r="CR35"/>
          <cell r="CS35"/>
          <cell r="CT35"/>
          <cell r="CU35"/>
          <cell r="CV35"/>
          <cell r="CW35"/>
          <cell r="CX35"/>
          <cell r="CY35"/>
          <cell r="CZ35"/>
          <cell r="DA35"/>
          <cell r="DB35"/>
          <cell r="DC35"/>
          <cell r="DD35"/>
          <cell r="DE35"/>
          <cell r="DF35"/>
          <cell r="DG35"/>
          <cell r="DH35"/>
          <cell r="DI35"/>
          <cell r="DJ35"/>
          <cell r="DK35"/>
          <cell r="DL35"/>
          <cell r="DM35"/>
          <cell r="DN35"/>
          <cell r="DO35"/>
          <cell r="DP35"/>
          <cell r="DQ35"/>
          <cell r="DR35"/>
          <cell r="DS35"/>
          <cell r="DT35"/>
          <cell r="DU35"/>
          <cell r="DV35"/>
          <cell r="DW35"/>
          <cell r="DX35"/>
          <cell r="ED35"/>
          <cell r="ES35" t="str">
            <v>785C-APX1408.00.GR.0 WIRING HARNESS</v>
          </cell>
          <cell r="ET35" t="str">
            <v>785C-APX</v>
          </cell>
          <cell r="EV35" t="str">
            <v>1408.00.GR.0 WIRING HARNESS</v>
          </cell>
          <cell r="EW35">
            <v>4998.9502499999999</v>
          </cell>
          <cell r="EX35">
            <v>1625</v>
          </cell>
        </row>
        <row r="36">
          <cell r="A36" t="str">
            <v>4008.RR.CC.2RB FINAL DRIVE, BRAKE AND WHEEL</v>
          </cell>
          <cell r="B36" t="str">
            <v>YES</v>
          </cell>
          <cell r="M36" t="str">
            <v>4008.LR.CC.2RB FINAL DRIVE, BRAKE AND WHEEL</v>
          </cell>
          <cell r="N36"/>
          <cell r="O36"/>
          <cell r="P36"/>
          <cell r="Q36"/>
          <cell r="R36" t="str">
            <v>DT150-05</v>
          </cell>
          <cell r="S36"/>
          <cell r="T36"/>
          <cell r="U36"/>
          <cell r="V36"/>
          <cell r="W36"/>
          <cell r="X36"/>
          <cell r="Y36"/>
          <cell r="Z36"/>
          <cell r="AA36"/>
          <cell r="AB36"/>
          <cell r="AC36"/>
          <cell r="AD36"/>
          <cell r="AE36"/>
          <cell r="AF36"/>
          <cell r="AG36"/>
          <cell r="AH36"/>
          <cell r="AI36"/>
          <cell r="AJ36"/>
          <cell r="AK36"/>
          <cell r="AL36"/>
          <cell r="AM36"/>
          <cell r="AN36"/>
          <cell r="AO36"/>
          <cell r="AP36"/>
          <cell r="AQ36"/>
          <cell r="AR36"/>
          <cell r="AS36"/>
          <cell r="AT36"/>
          <cell r="AU36"/>
          <cell r="AV36"/>
          <cell r="AW36"/>
          <cell r="AX36"/>
          <cell r="AY36"/>
          <cell r="AZ36"/>
          <cell r="BA36"/>
          <cell r="BB36"/>
          <cell r="BC36"/>
          <cell r="BD36"/>
          <cell r="BE36"/>
          <cell r="BF36"/>
          <cell r="BG36"/>
          <cell r="BH36"/>
          <cell r="BI36"/>
          <cell r="BJ36"/>
          <cell r="BK36"/>
          <cell r="BL36"/>
          <cell r="BM36"/>
          <cell r="BN36"/>
          <cell r="BO36"/>
          <cell r="BP36"/>
          <cell r="BQ36"/>
          <cell r="BR36"/>
          <cell r="BS36"/>
          <cell r="BT36"/>
          <cell r="BU36"/>
          <cell r="BV36"/>
          <cell r="BW36"/>
          <cell r="BX36"/>
          <cell r="BY36"/>
          <cell r="BZ36"/>
          <cell r="CA36"/>
          <cell r="CB36"/>
          <cell r="CC36"/>
          <cell r="CD36"/>
          <cell r="CE36"/>
          <cell r="CF36"/>
          <cell r="CG36"/>
          <cell r="CH36"/>
          <cell r="CI36"/>
          <cell r="CJ36"/>
          <cell r="CK36"/>
          <cell r="CL36"/>
          <cell r="CM36"/>
          <cell r="CN36"/>
          <cell r="CO36"/>
          <cell r="CP36"/>
          <cell r="CQ36"/>
          <cell r="CR36"/>
          <cell r="CS36"/>
          <cell r="CT36"/>
          <cell r="CU36"/>
          <cell r="CV36"/>
          <cell r="CW36"/>
          <cell r="CX36"/>
          <cell r="CY36"/>
          <cell r="CZ36"/>
          <cell r="DA36"/>
          <cell r="DB36"/>
          <cell r="DC36"/>
          <cell r="DD36"/>
          <cell r="DE36"/>
          <cell r="DF36"/>
          <cell r="DG36"/>
          <cell r="DH36"/>
          <cell r="DI36"/>
          <cell r="DJ36"/>
          <cell r="DK36"/>
          <cell r="DL36"/>
          <cell r="DM36"/>
          <cell r="DN36"/>
          <cell r="DO36"/>
          <cell r="DP36"/>
          <cell r="DQ36"/>
          <cell r="DR36"/>
          <cell r="DS36"/>
          <cell r="DT36"/>
          <cell r="DU36"/>
          <cell r="DV36"/>
          <cell r="DW36"/>
          <cell r="DX36"/>
          <cell r="ED36" t="str">
            <v>DT150-05</v>
          </cell>
          <cell r="ES36" t="str">
            <v>785C-APX1429.00.CC.0 LIGHT(S)</v>
          </cell>
          <cell r="ET36" t="str">
            <v>785C-APX</v>
          </cell>
          <cell r="EV36" t="str">
            <v>1429.00.CC.0 LIGHT(S)</v>
          </cell>
          <cell r="EW36">
            <v>1664.63</v>
          </cell>
          <cell r="EX36">
            <v>390</v>
          </cell>
        </row>
        <row r="37">
          <cell r="A37" t="str">
            <v>4215.LF.CO.0 WHEEL BEARING - FR</v>
          </cell>
          <cell r="B37" t="str">
            <v>YES</v>
          </cell>
          <cell r="M37" t="str">
            <v>4008.RR.CC.2RB FINAL DRIVE, BRAKE AND WHEEL</v>
          </cell>
          <cell r="N37"/>
          <cell r="O37"/>
          <cell r="P37"/>
          <cell r="Q37"/>
          <cell r="R37"/>
          <cell r="S37"/>
          <cell r="T37"/>
          <cell r="U37"/>
          <cell r="V37"/>
          <cell r="W37"/>
          <cell r="X37"/>
          <cell r="Y37"/>
          <cell r="Z37"/>
          <cell r="AA37"/>
          <cell r="AB37"/>
          <cell r="AC37"/>
          <cell r="AD37"/>
          <cell r="AE37"/>
          <cell r="AF37"/>
          <cell r="AG37"/>
          <cell r="AH37"/>
          <cell r="AI37"/>
          <cell r="AJ37" t="str">
            <v>DT180-07</v>
          </cell>
          <cell r="AK37"/>
          <cell r="AL37"/>
          <cell r="AM37"/>
          <cell r="AN37"/>
          <cell r="AO37"/>
          <cell r="AP37"/>
          <cell r="AQ37"/>
          <cell r="AR37"/>
          <cell r="AS37"/>
          <cell r="AT37"/>
          <cell r="AU37"/>
          <cell r="AV37"/>
          <cell r="AW37"/>
          <cell r="AX37"/>
          <cell r="AY37"/>
          <cell r="AZ37"/>
          <cell r="BA37"/>
          <cell r="BB37"/>
          <cell r="BC37"/>
          <cell r="BD37"/>
          <cell r="BE37"/>
          <cell r="BF37"/>
          <cell r="BG37"/>
          <cell r="BH37"/>
          <cell r="BI37"/>
          <cell r="BJ37"/>
          <cell r="BK37"/>
          <cell r="BL37"/>
          <cell r="BM37"/>
          <cell r="BN37"/>
          <cell r="BO37"/>
          <cell r="BP37"/>
          <cell r="BQ37"/>
          <cell r="BR37"/>
          <cell r="BS37"/>
          <cell r="BT37"/>
          <cell r="BU37"/>
          <cell r="BV37"/>
          <cell r="BW37"/>
          <cell r="BX37"/>
          <cell r="BY37"/>
          <cell r="BZ37"/>
          <cell r="CA37"/>
          <cell r="CB37"/>
          <cell r="CC37"/>
          <cell r="CD37"/>
          <cell r="CE37"/>
          <cell r="CF37"/>
          <cell r="CG37"/>
          <cell r="CH37"/>
          <cell r="CI37"/>
          <cell r="CJ37"/>
          <cell r="CK37"/>
          <cell r="CL37"/>
          <cell r="CM37"/>
          <cell r="CN37"/>
          <cell r="CO37"/>
          <cell r="CP37"/>
          <cell r="CQ37"/>
          <cell r="CR37"/>
          <cell r="CS37"/>
          <cell r="CT37"/>
          <cell r="CU37"/>
          <cell r="CV37"/>
          <cell r="CW37"/>
          <cell r="CX37"/>
          <cell r="CY37"/>
          <cell r="CZ37"/>
          <cell r="DA37"/>
          <cell r="DB37"/>
          <cell r="DC37"/>
          <cell r="DD37"/>
          <cell r="DE37"/>
          <cell r="DF37"/>
          <cell r="DG37"/>
          <cell r="DH37"/>
          <cell r="DI37"/>
          <cell r="DJ37"/>
          <cell r="DK37"/>
          <cell r="DL37"/>
          <cell r="DM37"/>
          <cell r="DN37"/>
          <cell r="DO37"/>
          <cell r="DP37"/>
          <cell r="DQ37"/>
          <cell r="DR37"/>
          <cell r="DS37"/>
          <cell r="DT37"/>
          <cell r="DU37"/>
          <cell r="DV37"/>
          <cell r="DW37"/>
          <cell r="DX37"/>
          <cell r="ED37" t="str">
            <v>DT180-07</v>
          </cell>
          <cell r="ES37" t="str">
            <v>785C-APX1451.00.CC.0 AIR STARTING MOTOR</v>
          </cell>
          <cell r="ET37" t="str">
            <v>785C-APX</v>
          </cell>
          <cell r="EV37" t="str">
            <v>1451.00.CC.0 AIR STARTING MOTOR</v>
          </cell>
          <cell r="EW37">
            <v>4298.67</v>
          </cell>
          <cell r="EX37">
            <v>195</v>
          </cell>
        </row>
        <row r="38">
          <cell r="A38" t="str">
            <v>4215.RF.CO.0 WHEEL BEARING - FR</v>
          </cell>
          <cell r="B38" t="str">
            <v>YES</v>
          </cell>
          <cell r="M38" t="str">
            <v>4215.LF.CO.0 WHEEL BEARING - FR</v>
          </cell>
          <cell r="N38"/>
          <cell r="O38"/>
          <cell r="P38"/>
          <cell r="Q38"/>
          <cell r="R38"/>
          <cell r="S38"/>
          <cell r="T38"/>
          <cell r="U38"/>
          <cell r="V38"/>
          <cell r="W38"/>
          <cell r="X38"/>
          <cell r="Y38"/>
          <cell r="Z38"/>
          <cell r="AA38"/>
          <cell r="AB38"/>
          <cell r="AC38"/>
          <cell r="AD38"/>
          <cell r="AE38"/>
          <cell r="AF38"/>
          <cell r="AG38"/>
          <cell r="AH38"/>
          <cell r="AI38"/>
          <cell r="AJ38"/>
          <cell r="AK38"/>
          <cell r="AL38"/>
          <cell r="AM38"/>
          <cell r="AN38"/>
          <cell r="AO38"/>
          <cell r="AP38"/>
          <cell r="AQ38"/>
          <cell r="AR38"/>
          <cell r="AS38"/>
          <cell r="AT38"/>
          <cell r="AU38"/>
          <cell r="AV38"/>
          <cell r="AW38"/>
          <cell r="AX38"/>
          <cell r="AY38"/>
          <cell r="AZ38"/>
          <cell r="BA38"/>
          <cell r="BB38"/>
          <cell r="BC38"/>
          <cell r="BD38"/>
          <cell r="BE38"/>
          <cell r="BF38"/>
          <cell r="BG38"/>
          <cell r="BH38"/>
          <cell r="BI38"/>
          <cell r="BJ38"/>
          <cell r="BK38"/>
          <cell r="BL38"/>
          <cell r="BM38"/>
          <cell r="BN38"/>
          <cell r="BO38"/>
          <cell r="BP38"/>
          <cell r="BQ38"/>
          <cell r="BR38"/>
          <cell r="BS38"/>
          <cell r="BT38"/>
          <cell r="BU38"/>
          <cell r="BV38"/>
          <cell r="BW38"/>
          <cell r="BX38"/>
          <cell r="BY38"/>
          <cell r="BZ38"/>
          <cell r="CA38"/>
          <cell r="CB38"/>
          <cell r="CC38"/>
          <cell r="CD38"/>
          <cell r="CE38"/>
          <cell r="CF38"/>
          <cell r="CG38"/>
          <cell r="CH38"/>
          <cell r="CI38"/>
          <cell r="CJ38"/>
          <cell r="CK38"/>
          <cell r="CL38"/>
          <cell r="CM38"/>
          <cell r="CN38"/>
          <cell r="CO38"/>
          <cell r="CP38"/>
          <cell r="CQ38"/>
          <cell r="CR38"/>
          <cell r="CS38"/>
          <cell r="CT38"/>
          <cell r="CU38"/>
          <cell r="CV38"/>
          <cell r="CW38"/>
          <cell r="CX38"/>
          <cell r="CY38"/>
          <cell r="CZ38"/>
          <cell r="DA38"/>
          <cell r="DB38"/>
          <cell r="DC38"/>
          <cell r="DD38"/>
          <cell r="DE38"/>
          <cell r="DF38"/>
          <cell r="DG38"/>
          <cell r="DH38"/>
          <cell r="DI38"/>
          <cell r="DJ38"/>
          <cell r="DK38"/>
          <cell r="DL38"/>
          <cell r="DM38"/>
          <cell r="DN38"/>
          <cell r="DO38"/>
          <cell r="DP38"/>
          <cell r="DQ38"/>
          <cell r="DR38"/>
          <cell r="DS38"/>
          <cell r="DT38"/>
          <cell r="DU38"/>
          <cell r="DV38"/>
          <cell r="DW38"/>
          <cell r="DX38"/>
          <cell r="ED38"/>
          <cell r="ES38" t="str">
            <v>785C-APX1802.00.CC.0 REFRIGERANT COMPRESSOR</v>
          </cell>
          <cell r="ET38" t="str">
            <v>785C-APX</v>
          </cell>
          <cell r="EV38" t="str">
            <v>1802.00.CC.0 REFRIGERANT COMPRESSOR</v>
          </cell>
          <cell r="EW38">
            <v>1179.54</v>
          </cell>
          <cell r="EX38">
            <v>325</v>
          </cell>
        </row>
        <row r="39">
          <cell r="A39" t="str">
            <v>4251.LF.CC.0 BRAKE GRP</v>
          </cell>
          <cell r="B39" t="str">
            <v>YES</v>
          </cell>
          <cell r="M39" t="str">
            <v>4215.RF.CO.0 WHEEL BEARING - FR</v>
          </cell>
          <cell r="N39"/>
          <cell r="O39"/>
          <cell r="P39"/>
          <cell r="Q39"/>
          <cell r="R39"/>
          <cell r="S39"/>
          <cell r="T39"/>
          <cell r="U39"/>
          <cell r="V39"/>
          <cell r="W39" t="str">
            <v>DT150-10</v>
          </cell>
          <cell r="X39"/>
          <cell r="Y39"/>
          <cell r="Z39"/>
          <cell r="AA39"/>
          <cell r="AB39"/>
          <cell r="AC39"/>
          <cell r="AD39"/>
          <cell r="AE39"/>
          <cell r="AF39"/>
          <cell r="AG39"/>
          <cell r="AH39"/>
          <cell r="AI39"/>
          <cell r="AJ39"/>
          <cell r="AK39"/>
          <cell r="AL39"/>
          <cell r="AM39"/>
          <cell r="AN39"/>
          <cell r="AO39"/>
          <cell r="AP39"/>
          <cell r="AQ39"/>
          <cell r="AR39"/>
          <cell r="AS39"/>
          <cell r="AT39"/>
          <cell r="AU39"/>
          <cell r="AV39"/>
          <cell r="AW39"/>
          <cell r="AX39"/>
          <cell r="AY39"/>
          <cell r="AZ39"/>
          <cell r="BA39"/>
          <cell r="BB39"/>
          <cell r="BC39"/>
          <cell r="BD39"/>
          <cell r="BE39"/>
          <cell r="BF39"/>
          <cell r="BG39"/>
          <cell r="BH39"/>
          <cell r="BI39"/>
          <cell r="BJ39"/>
          <cell r="BK39"/>
          <cell r="BL39"/>
          <cell r="BM39"/>
          <cell r="BN39"/>
          <cell r="BO39"/>
          <cell r="BP39"/>
          <cell r="BQ39"/>
          <cell r="BR39"/>
          <cell r="BS39"/>
          <cell r="BT39"/>
          <cell r="BU39"/>
          <cell r="BV39"/>
          <cell r="BW39"/>
          <cell r="BX39"/>
          <cell r="BY39"/>
          <cell r="BZ39"/>
          <cell r="CA39"/>
          <cell r="CB39"/>
          <cell r="CC39"/>
          <cell r="CD39"/>
          <cell r="CE39"/>
          <cell r="CF39"/>
          <cell r="CG39"/>
          <cell r="CH39"/>
          <cell r="CI39"/>
          <cell r="CJ39"/>
          <cell r="CK39"/>
          <cell r="CL39"/>
          <cell r="CM39"/>
          <cell r="CN39"/>
          <cell r="CO39"/>
          <cell r="CP39"/>
          <cell r="CQ39"/>
          <cell r="CR39"/>
          <cell r="CS39"/>
          <cell r="CT39"/>
          <cell r="CU39"/>
          <cell r="CV39"/>
          <cell r="CW39"/>
          <cell r="CX39"/>
          <cell r="CY39"/>
          <cell r="CZ39"/>
          <cell r="DA39"/>
          <cell r="DB39"/>
          <cell r="DC39"/>
          <cell r="DD39"/>
          <cell r="DE39"/>
          <cell r="DF39"/>
          <cell r="DG39"/>
          <cell r="DH39"/>
          <cell r="DI39"/>
          <cell r="DJ39"/>
          <cell r="DK39"/>
          <cell r="DL39"/>
          <cell r="DM39"/>
          <cell r="DN39"/>
          <cell r="DO39"/>
          <cell r="DP39"/>
          <cell r="DQ39"/>
          <cell r="DR39"/>
          <cell r="DS39"/>
          <cell r="DT39"/>
          <cell r="DU39"/>
          <cell r="DV39"/>
          <cell r="DW39"/>
          <cell r="DX39"/>
          <cell r="ED39" t="str">
            <v>DT150-10</v>
          </cell>
          <cell r="ES39" t="str">
            <v>785C-APX1802.BJ.CC.0 REFRIGERANT COMPRESSOR</v>
          </cell>
          <cell r="ET39" t="str">
            <v>785C-APX</v>
          </cell>
          <cell r="EV39" t="str">
            <v>1802.BJ.CC.0 REFRIGERANT COMPRESSOR</v>
          </cell>
          <cell r="EW39">
            <v>44.09</v>
          </cell>
          <cell r="EX39">
            <v>130</v>
          </cell>
        </row>
        <row r="40">
          <cell r="A40" t="str">
            <v>4251.RF.CC.0 BRAKE GRP</v>
          </cell>
          <cell r="B40" t="str">
            <v>YES</v>
          </cell>
          <cell r="M40" t="str">
            <v>4251.LF.CC.0 BRAKE GRP</v>
          </cell>
          <cell r="N40"/>
          <cell r="O40"/>
          <cell r="P40"/>
          <cell r="Q40"/>
          <cell r="R40"/>
          <cell r="S40"/>
          <cell r="T40"/>
          <cell r="U40"/>
          <cell r="V40"/>
          <cell r="W40"/>
          <cell r="X40"/>
          <cell r="Y40"/>
          <cell r="Z40"/>
          <cell r="AA40"/>
          <cell r="AB40"/>
          <cell r="AC40"/>
          <cell r="AD40"/>
          <cell r="AE40"/>
          <cell r="AF40"/>
          <cell r="AG40"/>
          <cell r="AH40"/>
          <cell r="AI40"/>
          <cell r="AJ40"/>
          <cell r="AK40"/>
          <cell r="AL40"/>
          <cell r="AM40"/>
          <cell r="AN40"/>
          <cell r="AO40"/>
          <cell r="AP40"/>
          <cell r="AQ40"/>
          <cell r="AR40"/>
          <cell r="AS40"/>
          <cell r="AT40"/>
          <cell r="AU40"/>
          <cell r="AV40"/>
          <cell r="AW40"/>
          <cell r="AX40"/>
          <cell r="AY40"/>
          <cell r="AZ40"/>
          <cell r="BA40"/>
          <cell r="BB40"/>
          <cell r="BC40"/>
          <cell r="BD40"/>
          <cell r="BE40"/>
          <cell r="BF40"/>
          <cell r="BG40"/>
          <cell r="BH40"/>
          <cell r="BI40"/>
          <cell r="BJ40"/>
          <cell r="BK40"/>
          <cell r="BL40"/>
          <cell r="BM40"/>
          <cell r="BN40"/>
          <cell r="BO40"/>
          <cell r="BP40"/>
          <cell r="BQ40"/>
          <cell r="BR40"/>
          <cell r="BS40"/>
          <cell r="BT40"/>
          <cell r="BU40"/>
          <cell r="BV40"/>
          <cell r="BW40"/>
          <cell r="BX40"/>
          <cell r="BY40"/>
          <cell r="BZ40"/>
          <cell r="CA40"/>
          <cell r="CB40"/>
          <cell r="CC40"/>
          <cell r="CD40"/>
          <cell r="CE40"/>
          <cell r="CF40"/>
          <cell r="CG40"/>
          <cell r="CH40"/>
          <cell r="CI40"/>
          <cell r="CJ40"/>
          <cell r="CK40"/>
          <cell r="CL40"/>
          <cell r="CM40"/>
          <cell r="CN40"/>
          <cell r="CO40"/>
          <cell r="CP40"/>
          <cell r="CQ40"/>
          <cell r="CR40"/>
          <cell r="CS40"/>
          <cell r="CT40"/>
          <cell r="CU40"/>
          <cell r="CV40"/>
          <cell r="CW40"/>
          <cell r="CX40"/>
          <cell r="CY40"/>
          <cell r="CZ40"/>
          <cell r="DA40"/>
          <cell r="DB40"/>
          <cell r="DC40"/>
          <cell r="DD40"/>
          <cell r="DE40"/>
          <cell r="DF40"/>
          <cell r="DG40"/>
          <cell r="DH40"/>
          <cell r="DI40"/>
          <cell r="DJ40"/>
          <cell r="DK40"/>
          <cell r="DL40"/>
          <cell r="DM40"/>
          <cell r="DN40"/>
          <cell r="DO40"/>
          <cell r="DP40"/>
          <cell r="DQ40"/>
          <cell r="DR40"/>
          <cell r="DS40"/>
          <cell r="DT40"/>
          <cell r="DU40"/>
          <cell r="DV40"/>
          <cell r="DW40"/>
          <cell r="DX40"/>
          <cell r="ED40"/>
          <cell r="ES40" t="str">
            <v>785C-APX1803.00.CC.0 AIR COMPRESSOR</v>
          </cell>
          <cell r="ET40" t="str">
            <v>785C-APX</v>
          </cell>
          <cell r="EV40" t="str">
            <v>1803.00.CC.0 AIR COMPRESSOR</v>
          </cell>
          <cell r="EW40">
            <v>1020.22</v>
          </cell>
          <cell r="EX40">
            <v>260</v>
          </cell>
        </row>
        <row r="41">
          <cell r="A41" t="str">
            <v>4261.FR.CC.0 BRAKE/SLACK ADJUSTER</v>
          </cell>
          <cell r="B41" t="str">
            <v>YES</v>
          </cell>
          <cell r="M41" t="str">
            <v>4251.RF.CC.0 BRAKE GRP</v>
          </cell>
          <cell r="N41"/>
          <cell r="O41"/>
          <cell r="P41"/>
          <cell r="Q41"/>
          <cell r="R41"/>
          <cell r="S41"/>
          <cell r="T41"/>
          <cell r="U41"/>
          <cell r="V41"/>
          <cell r="W41" t="str">
            <v>DT150-10</v>
          </cell>
          <cell r="X41"/>
          <cell r="Y41"/>
          <cell r="Z41"/>
          <cell r="AA41"/>
          <cell r="AB41"/>
          <cell r="AC41"/>
          <cell r="AD41"/>
          <cell r="AE41"/>
          <cell r="AF41"/>
          <cell r="AG41"/>
          <cell r="AH41"/>
          <cell r="AI41"/>
          <cell r="AJ41"/>
          <cell r="AK41"/>
          <cell r="AL41"/>
          <cell r="AM41"/>
          <cell r="AN41"/>
          <cell r="AO41"/>
          <cell r="AP41"/>
          <cell r="AQ41"/>
          <cell r="AR41"/>
          <cell r="AS41"/>
          <cell r="AT41"/>
          <cell r="AU41"/>
          <cell r="AV41"/>
          <cell r="AW41"/>
          <cell r="AX41"/>
          <cell r="AY41"/>
          <cell r="AZ41"/>
          <cell r="BA41"/>
          <cell r="BB41"/>
          <cell r="BC41"/>
          <cell r="BD41"/>
          <cell r="BE41"/>
          <cell r="BF41"/>
          <cell r="BG41"/>
          <cell r="BH41"/>
          <cell r="BI41"/>
          <cell r="BJ41"/>
          <cell r="BK41"/>
          <cell r="BL41"/>
          <cell r="BM41"/>
          <cell r="BN41"/>
          <cell r="BO41"/>
          <cell r="BP41"/>
          <cell r="BQ41"/>
          <cell r="BR41"/>
          <cell r="BS41"/>
          <cell r="BT41"/>
          <cell r="BU41"/>
          <cell r="BV41"/>
          <cell r="BW41"/>
          <cell r="BX41"/>
          <cell r="BY41"/>
          <cell r="BZ41"/>
          <cell r="CA41"/>
          <cell r="CB41"/>
          <cell r="CC41"/>
          <cell r="CD41"/>
          <cell r="CE41"/>
          <cell r="CF41"/>
          <cell r="CG41"/>
          <cell r="CH41"/>
          <cell r="CI41"/>
          <cell r="CJ41"/>
          <cell r="CK41"/>
          <cell r="CL41"/>
          <cell r="CM41"/>
          <cell r="CN41"/>
          <cell r="CO41"/>
          <cell r="CP41"/>
          <cell r="CQ41"/>
          <cell r="CR41"/>
          <cell r="CS41"/>
          <cell r="CT41"/>
          <cell r="CU41"/>
          <cell r="CV41"/>
          <cell r="CW41"/>
          <cell r="CX41"/>
          <cell r="CY41"/>
          <cell r="CZ41"/>
          <cell r="DA41"/>
          <cell r="DB41"/>
          <cell r="DC41"/>
          <cell r="DD41"/>
          <cell r="DE41"/>
          <cell r="DF41"/>
          <cell r="DG41"/>
          <cell r="DH41"/>
          <cell r="DI41"/>
          <cell r="DJ41"/>
          <cell r="DK41"/>
          <cell r="DL41"/>
          <cell r="DM41"/>
          <cell r="DN41"/>
          <cell r="DO41"/>
          <cell r="DP41"/>
          <cell r="DQ41"/>
          <cell r="DR41"/>
          <cell r="DS41"/>
          <cell r="DT41"/>
          <cell r="DU41"/>
          <cell r="DV41"/>
          <cell r="DW41"/>
          <cell r="DX41"/>
          <cell r="ED41" t="str">
            <v>DT150-10</v>
          </cell>
          <cell r="ES41" t="str">
            <v>785C-APX3016.00.CC.0 DRIVE TRAIN OIL LINES</v>
          </cell>
          <cell r="ET41" t="str">
            <v>785C-APX</v>
          </cell>
          <cell r="EV41" t="str">
            <v>3016.00.CC.0 DRIVE TRAIN OIL LINES</v>
          </cell>
          <cell r="EW41">
            <v>6076.63</v>
          </cell>
          <cell r="EX41">
            <v>1560</v>
          </cell>
        </row>
        <row r="42">
          <cell r="A42" t="str">
            <v>4261.RE.CC.0 BRAKE/SLACK ADJUSTER</v>
          </cell>
          <cell r="B42" t="str">
            <v>YES</v>
          </cell>
          <cell r="M42" t="str">
            <v>4261.FR.CC.0 BRAKE/SLACK ADJUSTER</v>
          </cell>
          <cell r="N42"/>
          <cell r="O42"/>
          <cell r="P42"/>
          <cell r="Q42"/>
          <cell r="R42"/>
          <cell r="S42"/>
          <cell r="T42"/>
          <cell r="U42"/>
          <cell r="V42"/>
          <cell r="W42"/>
          <cell r="X42"/>
          <cell r="Y42"/>
          <cell r="Z42"/>
          <cell r="AA42"/>
          <cell r="AB42"/>
          <cell r="AC42"/>
          <cell r="AD42"/>
          <cell r="AE42"/>
          <cell r="AF42"/>
          <cell r="AG42"/>
          <cell r="AH42"/>
          <cell r="AI42"/>
          <cell r="AJ42"/>
          <cell r="AK42"/>
          <cell r="AL42"/>
          <cell r="AM42"/>
          <cell r="AN42"/>
          <cell r="AO42"/>
          <cell r="AP42"/>
          <cell r="AQ42"/>
          <cell r="AR42"/>
          <cell r="AS42"/>
          <cell r="AT42"/>
          <cell r="AU42"/>
          <cell r="AV42"/>
          <cell r="AW42"/>
          <cell r="AX42"/>
          <cell r="AY42"/>
          <cell r="AZ42"/>
          <cell r="BA42"/>
          <cell r="BB42"/>
          <cell r="BC42"/>
          <cell r="BD42"/>
          <cell r="BE42"/>
          <cell r="BF42"/>
          <cell r="BG42"/>
          <cell r="BH42"/>
          <cell r="BI42"/>
          <cell r="BJ42"/>
          <cell r="BK42"/>
          <cell r="BL42"/>
          <cell r="BM42"/>
          <cell r="BN42"/>
          <cell r="BO42"/>
          <cell r="BP42"/>
          <cell r="BQ42"/>
          <cell r="BR42"/>
          <cell r="BS42"/>
          <cell r="BT42"/>
          <cell r="BU42"/>
          <cell r="BV42"/>
          <cell r="BW42"/>
          <cell r="BX42"/>
          <cell r="BY42"/>
          <cell r="BZ42"/>
          <cell r="CA42"/>
          <cell r="CB42"/>
          <cell r="CC42"/>
          <cell r="CD42"/>
          <cell r="CE42"/>
          <cell r="CF42"/>
          <cell r="CG42"/>
          <cell r="CH42"/>
          <cell r="CI42"/>
          <cell r="CJ42"/>
          <cell r="CK42"/>
          <cell r="CL42"/>
          <cell r="CM42"/>
          <cell r="CN42"/>
          <cell r="CO42"/>
          <cell r="CP42"/>
          <cell r="CQ42"/>
          <cell r="CR42"/>
          <cell r="CS42"/>
          <cell r="CT42"/>
          <cell r="CU42"/>
          <cell r="CV42"/>
          <cell r="CW42"/>
          <cell r="CX42"/>
          <cell r="CY42"/>
          <cell r="CZ42"/>
          <cell r="DA42"/>
          <cell r="DB42"/>
          <cell r="DC42"/>
          <cell r="DD42"/>
          <cell r="DE42"/>
          <cell r="DF42"/>
          <cell r="DG42"/>
          <cell r="DH42"/>
          <cell r="DI42"/>
          <cell r="DJ42"/>
          <cell r="DK42"/>
          <cell r="DL42"/>
          <cell r="DM42"/>
          <cell r="DN42"/>
          <cell r="DO42"/>
          <cell r="DP42"/>
          <cell r="DQ42"/>
          <cell r="DR42"/>
          <cell r="DS42"/>
          <cell r="DT42"/>
          <cell r="DU42"/>
          <cell r="DV42"/>
          <cell r="DW42"/>
          <cell r="DX42"/>
          <cell r="ED42"/>
          <cell r="ES42" t="str">
            <v>785C-APX3030.00.CC.1RB TRANSMISSION</v>
          </cell>
          <cell r="ET42" t="str">
            <v>785C-APX</v>
          </cell>
          <cell r="EV42" t="str">
            <v>3030.00.CC.1RB TRANSMISSION</v>
          </cell>
          <cell r="EW42">
            <v>27035.9</v>
          </cell>
          <cell r="EX42">
            <v>1430</v>
          </cell>
        </row>
        <row r="43">
          <cell r="A43" t="str">
            <v>4265.00.CC.0 SERVICE BRAKE CONTROL VALVE</v>
          </cell>
          <cell r="B43" t="str">
            <v>YES</v>
          </cell>
          <cell r="M43" t="str">
            <v>4261.RE.CC.0 BRAKE/SLACK ADJUSTER</v>
          </cell>
          <cell r="N43"/>
          <cell r="O43"/>
          <cell r="P43"/>
          <cell r="Q43"/>
          <cell r="R43"/>
          <cell r="S43"/>
          <cell r="T43"/>
          <cell r="U43"/>
          <cell r="V43"/>
          <cell r="W43"/>
          <cell r="X43"/>
          <cell r="Y43"/>
          <cell r="Z43"/>
          <cell r="AA43"/>
          <cell r="AB43"/>
          <cell r="AC43"/>
          <cell r="AD43"/>
          <cell r="AE43"/>
          <cell r="AF43"/>
          <cell r="AG43"/>
          <cell r="AH43"/>
          <cell r="AI43"/>
          <cell r="AJ43"/>
          <cell r="AK43"/>
          <cell r="AL43"/>
          <cell r="AM43"/>
          <cell r="AN43"/>
          <cell r="AO43"/>
          <cell r="AP43"/>
          <cell r="AQ43"/>
          <cell r="AR43"/>
          <cell r="AS43"/>
          <cell r="AT43"/>
          <cell r="AU43"/>
          <cell r="AV43"/>
          <cell r="AW43"/>
          <cell r="AX43"/>
          <cell r="AY43"/>
          <cell r="AZ43"/>
          <cell r="BA43"/>
          <cell r="BB43"/>
          <cell r="BC43"/>
          <cell r="BD43"/>
          <cell r="BE43"/>
          <cell r="BF43"/>
          <cell r="BG43"/>
          <cell r="BH43"/>
          <cell r="BI43"/>
          <cell r="BJ43"/>
          <cell r="BK43"/>
          <cell r="BL43"/>
          <cell r="BM43"/>
          <cell r="BN43"/>
          <cell r="BO43"/>
          <cell r="BP43"/>
          <cell r="BQ43"/>
          <cell r="BR43"/>
          <cell r="BS43"/>
          <cell r="BT43"/>
          <cell r="BU43"/>
          <cell r="BV43"/>
          <cell r="BW43"/>
          <cell r="BX43"/>
          <cell r="BY43"/>
          <cell r="BZ43"/>
          <cell r="CA43"/>
          <cell r="CB43"/>
          <cell r="CC43"/>
          <cell r="CD43"/>
          <cell r="CE43"/>
          <cell r="CF43"/>
          <cell r="CG43"/>
          <cell r="CH43"/>
          <cell r="CI43"/>
          <cell r="CJ43"/>
          <cell r="CK43"/>
          <cell r="CL43"/>
          <cell r="CM43"/>
          <cell r="CN43"/>
          <cell r="CO43"/>
          <cell r="CP43"/>
          <cell r="CQ43"/>
          <cell r="CR43"/>
          <cell r="CS43"/>
          <cell r="CT43"/>
          <cell r="CU43"/>
          <cell r="CV43"/>
          <cell r="CW43"/>
          <cell r="CX43"/>
          <cell r="CY43"/>
          <cell r="CZ43"/>
          <cell r="DA43"/>
          <cell r="DB43"/>
          <cell r="DC43"/>
          <cell r="DD43"/>
          <cell r="DE43"/>
          <cell r="DF43"/>
          <cell r="DG43"/>
          <cell r="DH43"/>
          <cell r="DI43"/>
          <cell r="DJ43"/>
          <cell r="DK43"/>
          <cell r="DL43"/>
          <cell r="DM43"/>
          <cell r="DN43"/>
          <cell r="DO43"/>
          <cell r="DP43"/>
          <cell r="DQ43"/>
          <cell r="DR43"/>
          <cell r="DS43"/>
          <cell r="DT43"/>
          <cell r="DU43"/>
          <cell r="DV43"/>
          <cell r="DW43"/>
          <cell r="DX43"/>
          <cell r="ED43"/>
          <cell r="ES43" t="str">
            <v>785C-APX3030.00.CC.2RB TRANSMISSION</v>
          </cell>
          <cell r="ET43" t="str">
            <v>785C-APX</v>
          </cell>
          <cell r="EV43" t="str">
            <v>3030.00.CC.2RB TRANSMISSION</v>
          </cell>
          <cell r="EW43">
            <v>39607.89</v>
          </cell>
          <cell r="EX43">
            <v>1430</v>
          </cell>
        </row>
        <row r="44">
          <cell r="A44" t="str">
            <v>4277.FR.CC.0 BRAKE AIR OVER HYDRAULIC CYLINDER</v>
          </cell>
          <cell r="B44" t="str">
            <v>YES</v>
          </cell>
          <cell r="M44" t="str">
            <v>4265.00.CC.0 SERVICE BRAKE CONTROL VALVE</v>
          </cell>
          <cell r="N44"/>
          <cell r="O44"/>
          <cell r="P44"/>
          <cell r="Q44"/>
          <cell r="R44"/>
          <cell r="S44"/>
          <cell r="T44"/>
          <cell r="U44"/>
          <cell r="V44"/>
          <cell r="W44"/>
          <cell r="X44"/>
          <cell r="Y44"/>
          <cell r="Z44"/>
          <cell r="AA44"/>
          <cell r="AB44"/>
          <cell r="AC44"/>
          <cell r="AD44"/>
          <cell r="AE44"/>
          <cell r="AF44"/>
          <cell r="AG44"/>
          <cell r="AH44"/>
          <cell r="AI44"/>
          <cell r="AJ44"/>
          <cell r="AK44"/>
          <cell r="AL44"/>
          <cell r="AM44"/>
          <cell r="AN44"/>
          <cell r="AO44"/>
          <cell r="AP44"/>
          <cell r="AQ44"/>
          <cell r="AR44"/>
          <cell r="AS44"/>
          <cell r="AT44"/>
          <cell r="AU44"/>
          <cell r="AV44"/>
          <cell r="AW44"/>
          <cell r="AX44"/>
          <cell r="AY44"/>
          <cell r="AZ44"/>
          <cell r="BA44"/>
          <cell r="BB44"/>
          <cell r="BC44"/>
          <cell r="BD44"/>
          <cell r="BE44"/>
          <cell r="BF44"/>
          <cell r="BG44"/>
          <cell r="BH44"/>
          <cell r="BI44"/>
          <cell r="BJ44"/>
          <cell r="BK44"/>
          <cell r="BL44"/>
          <cell r="BM44"/>
          <cell r="BN44"/>
          <cell r="BO44"/>
          <cell r="BP44"/>
          <cell r="BQ44"/>
          <cell r="BR44"/>
          <cell r="BS44"/>
          <cell r="BT44"/>
          <cell r="BU44"/>
          <cell r="BV44"/>
          <cell r="BW44"/>
          <cell r="BX44"/>
          <cell r="BY44"/>
          <cell r="BZ44"/>
          <cell r="CA44"/>
          <cell r="CB44"/>
          <cell r="CC44"/>
          <cell r="CD44"/>
          <cell r="CE44"/>
          <cell r="CF44"/>
          <cell r="CG44"/>
          <cell r="CH44"/>
          <cell r="CI44"/>
          <cell r="CJ44"/>
          <cell r="CK44"/>
          <cell r="CL44"/>
          <cell r="CM44"/>
          <cell r="CN44"/>
          <cell r="CO44"/>
          <cell r="CP44"/>
          <cell r="CQ44"/>
          <cell r="CR44"/>
          <cell r="CS44"/>
          <cell r="CT44"/>
          <cell r="CU44"/>
          <cell r="CV44"/>
          <cell r="CW44"/>
          <cell r="CX44"/>
          <cell r="CY44"/>
          <cell r="CZ44"/>
          <cell r="DA44"/>
          <cell r="DB44"/>
          <cell r="DC44"/>
          <cell r="DD44"/>
          <cell r="DE44"/>
          <cell r="DF44"/>
          <cell r="DG44"/>
          <cell r="DH44"/>
          <cell r="DI44"/>
          <cell r="DJ44"/>
          <cell r="DK44"/>
          <cell r="DL44"/>
          <cell r="DM44"/>
          <cell r="DN44"/>
          <cell r="DO44"/>
          <cell r="DP44"/>
          <cell r="DQ44"/>
          <cell r="DR44"/>
          <cell r="DS44"/>
          <cell r="DT44"/>
          <cell r="DU44"/>
          <cell r="DV44"/>
          <cell r="DW44"/>
          <cell r="DX44"/>
          <cell r="ED44"/>
          <cell r="ES44" t="str">
            <v>785C-APX3030.00.RM.0 TRANSMISSION</v>
          </cell>
          <cell r="ET44" t="str">
            <v>785C-APX</v>
          </cell>
          <cell r="EV44" t="str">
            <v>3030.00.RM.0 TRANSMISSION</v>
          </cell>
          <cell r="EW44">
            <v>272.625</v>
          </cell>
          <cell r="EX44">
            <v>260</v>
          </cell>
        </row>
        <row r="45">
          <cell r="A45" t="str">
            <v>4277.RE.CC.0 BRAKE AIR OVER HYDRAULIC CYLINDER</v>
          </cell>
          <cell r="B45" t="str">
            <v>YES</v>
          </cell>
          <cell r="M45" t="str">
            <v>4277.FR.CC.0 BRAKE AIR OVER HYDRAULIC CYLINDER</v>
          </cell>
          <cell r="N45"/>
          <cell r="O45"/>
          <cell r="P45"/>
          <cell r="Q45"/>
          <cell r="R45"/>
          <cell r="S45"/>
          <cell r="T45"/>
          <cell r="U45"/>
          <cell r="V45"/>
          <cell r="W45" t="str">
            <v>DT150-10</v>
          </cell>
          <cell r="X45"/>
          <cell r="Y45"/>
          <cell r="Z45"/>
          <cell r="AA45"/>
          <cell r="AB45"/>
          <cell r="AC45"/>
          <cell r="AD45"/>
          <cell r="AE45"/>
          <cell r="AF45"/>
          <cell r="AG45"/>
          <cell r="AH45"/>
          <cell r="AI45"/>
          <cell r="AJ45"/>
          <cell r="AK45"/>
          <cell r="AL45"/>
          <cell r="AM45"/>
          <cell r="AN45"/>
          <cell r="AO45"/>
          <cell r="AP45"/>
          <cell r="AQ45"/>
          <cell r="AR45"/>
          <cell r="AS45"/>
          <cell r="AT45"/>
          <cell r="AU45"/>
          <cell r="AV45"/>
          <cell r="AW45"/>
          <cell r="AX45"/>
          <cell r="AY45"/>
          <cell r="AZ45"/>
          <cell r="BA45"/>
          <cell r="BB45"/>
          <cell r="BC45"/>
          <cell r="BD45"/>
          <cell r="BE45"/>
          <cell r="BF45"/>
          <cell r="BG45"/>
          <cell r="BH45"/>
          <cell r="BI45"/>
          <cell r="BJ45"/>
          <cell r="BK45"/>
          <cell r="BL45"/>
          <cell r="BM45"/>
          <cell r="BN45"/>
          <cell r="BO45"/>
          <cell r="BP45"/>
          <cell r="BQ45"/>
          <cell r="BR45"/>
          <cell r="BS45"/>
          <cell r="BT45"/>
          <cell r="BU45"/>
          <cell r="BV45"/>
          <cell r="BW45"/>
          <cell r="BX45"/>
          <cell r="BY45"/>
          <cell r="BZ45"/>
          <cell r="CA45"/>
          <cell r="CB45"/>
          <cell r="CC45"/>
          <cell r="CD45"/>
          <cell r="CE45"/>
          <cell r="CF45"/>
          <cell r="CG45"/>
          <cell r="CH45"/>
          <cell r="CI45"/>
          <cell r="CJ45"/>
          <cell r="CK45"/>
          <cell r="CL45"/>
          <cell r="CM45"/>
          <cell r="CN45"/>
          <cell r="CO45"/>
          <cell r="CP45"/>
          <cell r="CQ45"/>
          <cell r="CR45"/>
          <cell r="CS45"/>
          <cell r="CT45"/>
          <cell r="CU45"/>
          <cell r="CV45"/>
          <cell r="CW45"/>
          <cell r="CX45"/>
          <cell r="CY45"/>
          <cell r="CZ45"/>
          <cell r="DA45"/>
          <cell r="DB45"/>
          <cell r="DC45"/>
          <cell r="DD45"/>
          <cell r="DE45"/>
          <cell r="DF45"/>
          <cell r="DG45"/>
          <cell r="DH45"/>
          <cell r="DI45"/>
          <cell r="DJ45"/>
          <cell r="DK45"/>
          <cell r="DL45"/>
          <cell r="DM45"/>
          <cell r="DN45"/>
          <cell r="DO45"/>
          <cell r="DP45"/>
          <cell r="DQ45"/>
          <cell r="DR45"/>
          <cell r="DS45"/>
          <cell r="DT45"/>
          <cell r="DU45"/>
          <cell r="DV45"/>
          <cell r="DW45"/>
          <cell r="DX45"/>
          <cell r="ED45" t="str">
            <v>DT150-10</v>
          </cell>
          <cell r="ES45" t="str">
            <v>785C-APX3065.00.CC.0 TRANSMISSION CONTROL</v>
          </cell>
          <cell r="ET45" t="str">
            <v>785C-APX</v>
          </cell>
          <cell r="EV45" t="str">
            <v>3065.00.CC.0 TRANSMISSION CONTROL</v>
          </cell>
          <cell r="EW45">
            <v>377.36</v>
          </cell>
          <cell r="EX45">
            <v>390</v>
          </cell>
        </row>
        <row r="46">
          <cell r="A46" t="str">
            <v>4303.LT.CC.0 STEERING CYLD</v>
          </cell>
          <cell r="B46" t="str">
            <v>YES</v>
          </cell>
          <cell r="M46" t="str">
            <v>4277.RE.CC.0 BRAKE AIR OVER HYDRAULIC CYLINDER</v>
          </cell>
          <cell r="N46"/>
          <cell r="O46"/>
          <cell r="P46"/>
          <cell r="Q46"/>
          <cell r="R46"/>
          <cell r="S46"/>
          <cell r="T46"/>
          <cell r="U46"/>
          <cell r="V46"/>
          <cell r="W46" t="str">
            <v>DT150-10</v>
          </cell>
          <cell r="X46"/>
          <cell r="Y46"/>
          <cell r="Z46"/>
          <cell r="AA46"/>
          <cell r="AB46"/>
          <cell r="AC46"/>
          <cell r="AD46"/>
          <cell r="AE46"/>
          <cell r="AF46"/>
          <cell r="AG46"/>
          <cell r="AH46"/>
          <cell r="AI46"/>
          <cell r="AJ46"/>
          <cell r="AK46"/>
          <cell r="AL46"/>
          <cell r="AM46"/>
          <cell r="AN46"/>
          <cell r="AO46"/>
          <cell r="AP46"/>
          <cell r="AQ46"/>
          <cell r="AR46"/>
          <cell r="AS46"/>
          <cell r="AT46"/>
          <cell r="AU46"/>
          <cell r="AV46"/>
          <cell r="AW46"/>
          <cell r="AX46"/>
          <cell r="AY46"/>
          <cell r="AZ46"/>
          <cell r="BA46"/>
          <cell r="BB46"/>
          <cell r="BC46"/>
          <cell r="BD46"/>
          <cell r="BE46"/>
          <cell r="BF46"/>
          <cell r="BG46"/>
          <cell r="BH46"/>
          <cell r="BI46"/>
          <cell r="BJ46"/>
          <cell r="BK46"/>
          <cell r="BL46"/>
          <cell r="BM46"/>
          <cell r="BN46"/>
          <cell r="BO46"/>
          <cell r="BP46"/>
          <cell r="BQ46"/>
          <cell r="BR46"/>
          <cell r="BS46"/>
          <cell r="BT46"/>
          <cell r="BU46"/>
          <cell r="BV46"/>
          <cell r="BW46"/>
          <cell r="BX46"/>
          <cell r="BY46"/>
          <cell r="BZ46"/>
          <cell r="CA46"/>
          <cell r="CB46"/>
          <cell r="CC46"/>
          <cell r="CD46"/>
          <cell r="CE46"/>
          <cell r="CF46"/>
          <cell r="CG46"/>
          <cell r="CH46"/>
          <cell r="CI46"/>
          <cell r="CJ46"/>
          <cell r="CK46"/>
          <cell r="CL46"/>
          <cell r="CM46"/>
          <cell r="CN46"/>
          <cell r="CO46"/>
          <cell r="CP46"/>
          <cell r="CQ46"/>
          <cell r="CR46"/>
          <cell r="CS46"/>
          <cell r="CT46"/>
          <cell r="CU46"/>
          <cell r="CV46"/>
          <cell r="CW46"/>
          <cell r="CX46"/>
          <cell r="CY46"/>
          <cell r="CZ46"/>
          <cell r="DA46"/>
          <cell r="DB46"/>
          <cell r="DC46"/>
          <cell r="DD46"/>
          <cell r="DE46"/>
          <cell r="DF46"/>
          <cell r="DG46"/>
          <cell r="DH46"/>
          <cell r="DI46"/>
          <cell r="DJ46"/>
          <cell r="DK46"/>
          <cell r="DL46"/>
          <cell r="DM46"/>
          <cell r="DN46"/>
          <cell r="DO46"/>
          <cell r="DP46"/>
          <cell r="DQ46"/>
          <cell r="DR46"/>
          <cell r="DS46"/>
          <cell r="DT46"/>
          <cell r="DU46"/>
          <cell r="DV46"/>
          <cell r="DW46"/>
          <cell r="DX46"/>
          <cell r="ED46" t="str">
            <v>DT150-10</v>
          </cell>
          <cell r="ES46" t="str">
            <v>785C-APX3066.00.CC.0 TRANSMISSION OIL PUMP</v>
          </cell>
          <cell r="ET46" t="str">
            <v>785C-APX</v>
          </cell>
          <cell r="EV46" t="str">
            <v>3066.00.CC.0 TRANSMISSION OIL PUMP</v>
          </cell>
          <cell r="EW46">
            <v>3775.6</v>
          </cell>
          <cell r="EX46">
            <v>195</v>
          </cell>
        </row>
        <row r="47">
          <cell r="A47" t="str">
            <v>4303.RI.CC.0 STEERING CYLD</v>
          </cell>
          <cell r="B47" t="str">
            <v>YES</v>
          </cell>
          <cell r="M47" t="str">
            <v>4303.LT.CC.0 STEERING CYLD</v>
          </cell>
          <cell r="N47"/>
          <cell r="O47"/>
          <cell r="P47"/>
          <cell r="Q47"/>
          <cell r="R47"/>
          <cell r="S47"/>
          <cell r="T47"/>
          <cell r="U47"/>
          <cell r="V47"/>
          <cell r="W47"/>
          <cell r="X47"/>
          <cell r="Y47"/>
          <cell r="Z47"/>
          <cell r="AA47"/>
          <cell r="AB47"/>
          <cell r="AC47"/>
          <cell r="AD47"/>
          <cell r="AE47"/>
          <cell r="AF47"/>
          <cell r="AG47"/>
          <cell r="AH47"/>
          <cell r="AI47"/>
          <cell r="AJ47"/>
          <cell r="AK47"/>
          <cell r="AL47"/>
          <cell r="AM47"/>
          <cell r="AN47"/>
          <cell r="AO47"/>
          <cell r="AP47"/>
          <cell r="AQ47"/>
          <cell r="AR47"/>
          <cell r="AS47"/>
          <cell r="AT47"/>
          <cell r="AU47"/>
          <cell r="AV47"/>
          <cell r="AW47"/>
          <cell r="AX47"/>
          <cell r="AY47"/>
          <cell r="AZ47"/>
          <cell r="BA47"/>
          <cell r="BB47"/>
          <cell r="BC47"/>
          <cell r="BD47"/>
          <cell r="BE47"/>
          <cell r="BF47"/>
          <cell r="BG47"/>
          <cell r="BH47"/>
          <cell r="BI47"/>
          <cell r="BJ47"/>
          <cell r="BK47"/>
          <cell r="BL47"/>
          <cell r="BM47"/>
          <cell r="BN47"/>
          <cell r="BO47"/>
          <cell r="BP47"/>
          <cell r="BQ47"/>
          <cell r="BR47"/>
          <cell r="BS47"/>
          <cell r="BT47"/>
          <cell r="BU47"/>
          <cell r="BV47"/>
          <cell r="BW47"/>
          <cell r="BX47"/>
          <cell r="BY47"/>
          <cell r="BZ47"/>
          <cell r="CA47"/>
          <cell r="CB47"/>
          <cell r="CC47"/>
          <cell r="CD47"/>
          <cell r="CE47"/>
          <cell r="CF47"/>
          <cell r="CG47"/>
          <cell r="CH47"/>
          <cell r="CI47"/>
          <cell r="CJ47"/>
          <cell r="CK47"/>
          <cell r="CL47"/>
          <cell r="CM47"/>
          <cell r="CN47"/>
          <cell r="CO47"/>
          <cell r="CP47"/>
          <cell r="CQ47"/>
          <cell r="CR47"/>
          <cell r="CS47"/>
          <cell r="CT47"/>
          <cell r="CU47"/>
          <cell r="CV47"/>
          <cell r="CW47"/>
          <cell r="CX47"/>
          <cell r="CY47"/>
          <cell r="CZ47"/>
          <cell r="DA47"/>
          <cell r="DB47"/>
          <cell r="DC47"/>
          <cell r="DD47"/>
          <cell r="DE47"/>
          <cell r="DF47"/>
          <cell r="DG47"/>
          <cell r="DH47"/>
          <cell r="DI47"/>
          <cell r="DJ47"/>
          <cell r="DK47"/>
          <cell r="DL47"/>
          <cell r="DM47"/>
          <cell r="DN47"/>
          <cell r="DO47"/>
          <cell r="DP47"/>
          <cell r="DQ47"/>
          <cell r="DR47"/>
          <cell r="DS47"/>
          <cell r="DT47"/>
          <cell r="DU47"/>
          <cell r="DV47"/>
          <cell r="DW47"/>
          <cell r="DX47"/>
          <cell r="ED47"/>
          <cell r="ES47" t="str">
            <v>785C-APX3101.00.CC.1RB TORQUE CONVERTER</v>
          </cell>
          <cell r="ET47" t="str">
            <v>785C-APX</v>
          </cell>
          <cell r="EV47" t="str">
            <v>3101.00.CC.1RB TORQUE CONVERTER</v>
          </cell>
          <cell r="EW47">
            <v>11622.686</v>
          </cell>
          <cell r="EX47">
            <v>975</v>
          </cell>
        </row>
        <row r="48">
          <cell r="A48" t="str">
            <v>4304.00.CC.0 STEERING LINES/HOSES</v>
          </cell>
          <cell r="B48" t="str">
            <v>YES</v>
          </cell>
          <cell r="M48" t="str">
            <v>4303.RI.CC.0 STEERING CYLD</v>
          </cell>
          <cell r="N48"/>
          <cell r="O48"/>
          <cell r="P48"/>
          <cell r="Q48"/>
          <cell r="R48"/>
          <cell r="S48"/>
          <cell r="T48"/>
          <cell r="U48"/>
          <cell r="V48"/>
          <cell r="W48" t="str">
            <v>DT150-10</v>
          </cell>
          <cell r="X48"/>
          <cell r="Y48"/>
          <cell r="Z48"/>
          <cell r="AA48"/>
          <cell r="AB48"/>
          <cell r="AC48"/>
          <cell r="AD48"/>
          <cell r="AE48"/>
          <cell r="AF48"/>
          <cell r="AG48"/>
          <cell r="AH48"/>
          <cell r="AI48"/>
          <cell r="AJ48"/>
          <cell r="AK48"/>
          <cell r="AL48"/>
          <cell r="AM48"/>
          <cell r="AN48"/>
          <cell r="AO48"/>
          <cell r="AP48"/>
          <cell r="AQ48"/>
          <cell r="AR48"/>
          <cell r="AS48"/>
          <cell r="AT48"/>
          <cell r="AU48"/>
          <cell r="AV48"/>
          <cell r="AW48"/>
          <cell r="AX48"/>
          <cell r="AY48"/>
          <cell r="AZ48"/>
          <cell r="BA48"/>
          <cell r="BB48"/>
          <cell r="BC48"/>
          <cell r="BD48"/>
          <cell r="BE48"/>
          <cell r="BF48"/>
          <cell r="BG48"/>
          <cell r="BH48"/>
          <cell r="BI48"/>
          <cell r="BJ48"/>
          <cell r="BK48"/>
          <cell r="BL48"/>
          <cell r="BM48"/>
          <cell r="BN48"/>
          <cell r="BO48"/>
          <cell r="BP48"/>
          <cell r="BQ48"/>
          <cell r="BR48"/>
          <cell r="BS48"/>
          <cell r="BT48"/>
          <cell r="BU48"/>
          <cell r="BV48"/>
          <cell r="BW48"/>
          <cell r="BX48"/>
          <cell r="BY48"/>
          <cell r="BZ48"/>
          <cell r="CA48"/>
          <cell r="CB48"/>
          <cell r="CC48"/>
          <cell r="CD48"/>
          <cell r="CE48"/>
          <cell r="CF48"/>
          <cell r="CG48"/>
          <cell r="CH48"/>
          <cell r="CI48"/>
          <cell r="CJ48"/>
          <cell r="CK48"/>
          <cell r="CL48"/>
          <cell r="CM48"/>
          <cell r="CN48"/>
          <cell r="CO48"/>
          <cell r="CP48"/>
          <cell r="CQ48"/>
          <cell r="CR48"/>
          <cell r="CS48"/>
          <cell r="CT48"/>
          <cell r="CU48"/>
          <cell r="CV48"/>
          <cell r="CW48"/>
          <cell r="CX48"/>
          <cell r="CY48"/>
          <cell r="CZ48"/>
          <cell r="DA48"/>
          <cell r="DB48"/>
          <cell r="DC48"/>
          <cell r="DD48"/>
          <cell r="DE48"/>
          <cell r="DF48"/>
          <cell r="DG48"/>
          <cell r="DH48"/>
          <cell r="DI48"/>
          <cell r="DJ48"/>
          <cell r="DK48"/>
          <cell r="DL48"/>
          <cell r="DM48"/>
          <cell r="DN48"/>
          <cell r="DO48"/>
          <cell r="DP48"/>
          <cell r="DQ48"/>
          <cell r="DR48"/>
          <cell r="DS48"/>
          <cell r="DT48"/>
          <cell r="DU48"/>
          <cell r="DV48"/>
          <cell r="DW48"/>
          <cell r="DX48"/>
          <cell r="ED48" t="str">
            <v>DT150-10</v>
          </cell>
          <cell r="ES48" t="str">
            <v>785C-APX3101.00.CC.2RB TORQUE CONVERTER</v>
          </cell>
          <cell r="ET48" t="str">
            <v>785C-APX</v>
          </cell>
          <cell r="EV48" t="str">
            <v>3101.00.CC.2RB TORQUE CONVERTER</v>
          </cell>
          <cell r="EW48">
            <v>15087.976000000001</v>
          </cell>
          <cell r="EX48">
            <v>975</v>
          </cell>
        </row>
        <row r="49">
          <cell r="A49" t="str">
            <v>4305.CE.CC.0 STEERING LINKAGE</v>
          </cell>
          <cell r="B49" t="str">
            <v>YES</v>
          </cell>
          <cell r="M49" t="str">
            <v>4304.00.CC.0 STEERING LINES/HOSES</v>
          </cell>
          <cell r="N49"/>
          <cell r="O49"/>
          <cell r="P49"/>
          <cell r="Q49"/>
          <cell r="R49"/>
          <cell r="S49"/>
          <cell r="T49"/>
          <cell r="U49"/>
          <cell r="V49"/>
          <cell r="W49"/>
          <cell r="X49"/>
          <cell r="Y49"/>
          <cell r="Z49"/>
          <cell r="AA49"/>
          <cell r="AB49"/>
          <cell r="AC49"/>
          <cell r="AD49"/>
          <cell r="AE49"/>
          <cell r="AF49"/>
          <cell r="AG49"/>
          <cell r="AH49"/>
          <cell r="AI49"/>
          <cell r="AJ49"/>
          <cell r="AK49"/>
          <cell r="AL49"/>
          <cell r="AM49"/>
          <cell r="AN49"/>
          <cell r="AO49"/>
          <cell r="AP49"/>
          <cell r="AQ49"/>
          <cell r="AR49"/>
          <cell r="AS49"/>
          <cell r="AT49"/>
          <cell r="AU49"/>
          <cell r="AV49"/>
          <cell r="AW49"/>
          <cell r="AX49"/>
          <cell r="AY49"/>
          <cell r="AZ49"/>
          <cell r="BA49"/>
          <cell r="BB49"/>
          <cell r="BC49"/>
          <cell r="BD49"/>
          <cell r="BE49"/>
          <cell r="BF49"/>
          <cell r="BG49"/>
          <cell r="BH49"/>
          <cell r="BI49"/>
          <cell r="BJ49"/>
          <cell r="BK49"/>
          <cell r="BL49"/>
          <cell r="BM49"/>
          <cell r="BN49"/>
          <cell r="BO49"/>
          <cell r="BP49"/>
          <cell r="BQ49"/>
          <cell r="BR49"/>
          <cell r="BS49"/>
          <cell r="BT49"/>
          <cell r="BU49"/>
          <cell r="BV49"/>
          <cell r="BW49"/>
          <cell r="BX49"/>
          <cell r="BY49"/>
          <cell r="BZ49"/>
          <cell r="CA49"/>
          <cell r="CB49"/>
          <cell r="CC49"/>
          <cell r="CD49"/>
          <cell r="CE49"/>
          <cell r="CF49"/>
          <cell r="CG49"/>
          <cell r="CH49"/>
          <cell r="CI49"/>
          <cell r="CJ49"/>
          <cell r="CK49"/>
          <cell r="CL49"/>
          <cell r="CM49"/>
          <cell r="CN49"/>
          <cell r="CO49"/>
          <cell r="CP49"/>
          <cell r="CQ49"/>
          <cell r="CR49"/>
          <cell r="CS49"/>
          <cell r="CT49"/>
          <cell r="CU49"/>
          <cell r="CV49"/>
          <cell r="CW49"/>
          <cell r="CX49"/>
          <cell r="CY49"/>
          <cell r="CZ49"/>
          <cell r="DA49"/>
          <cell r="DB49"/>
          <cell r="DC49"/>
          <cell r="DD49"/>
          <cell r="DE49"/>
          <cell r="DF49"/>
          <cell r="DG49"/>
          <cell r="DH49"/>
          <cell r="DI49"/>
          <cell r="DJ49"/>
          <cell r="DK49"/>
          <cell r="DL49"/>
          <cell r="DM49"/>
          <cell r="DN49"/>
          <cell r="DO49"/>
          <cell r="DP49"/>
          <cell r="DQ49"/>
          <cell r="DR49"/>
          <cell r="DS49"/>
          <cell r="DT49"/>
          <cell r="DU49"/>
          <cell r="DV49"/>
          <cell r="DW49"/>
          <cell r="DX49"/>
          <cell r="ED49"/>
          <cell r="ES49" t="str">
            <v>785C-APX3108.00.CC.1RB PUMP DRIVE GRP</v>
          </cell>
          <cell r="ET49" t="str">
            <v>785C-APX</v>
          </cell>
          <cell r="EV49" t="str">
            <v>3108.00.CC.1RB PUMP DRIVE GRP</v>
          </cell>
          <cell r="EW49">
            <v>3655.71</v>
          </cell>
          <cell r="EX49">
            <v>585</v>
          </cell>
        </row>
        <row r="50">
          <cell r="A50" t="str">
            <v>4305.LT.CC.0 STEERING LINKAGE</v>
          </cell>
          <cell r="B50" t="str">
            <v>YES</v>
          </cell>
          <cell r="M50" t="str">
            <v>4305.CE.CC.0 STEERING LINKAGE</v>
          </cell>
          <cell r="N50"/>
          <cell r="O50"/>
          <cell r="P50"/>
          <cell r="Q50"/>
          <cell r="R50"/>
          <cell r="S50"/>
          <cell r="T50"/>
          <cell r="U50"/>
          <cell r="V50"/>
          <cell r="W50" t="str">
            <v>DT150-10</v>
          </cell>
          <cell r="X50"/>
          <cell r="Y50"/>
          <cell r="Z50"/>
          <cell r="AA50"/>
          <cell r="AB50"/>
          <cell r="AC50"/>
          <cell r="AD50"/>
          <cell r="AE50"/>
          <cell r="AF50"/>
          <cell r="AG50"/>
          <cell r="AH50"/>
          <cell r="AI50"/>
          <cell r="AJ50"/>
          <cell r="AK50"/>
          <cell r="AL50"/>
          <cell r="AM50"/>
          <cell r="AN50"/>
          <cell r="AO50"/>
          <cell r="AP50"/>
          <cell r="AQ50"/>
          <cell r="AR50"/>
          <cell r="AS50"/>
          <cell r="AT50"/>
          <cell r="AU50"/>
          <cell r="AV50"/>
          <cell r="AW50"/>
          <cell r="AX50"/>
          <cell r="AY50"/>
          <cell r="AZ50"/>
          <cell r="BA50"/>
          <cell r="BB50"/>
          <cell r="BC50"/>
          <cell r="BD50"/>
          <cell r="BE50"/>
          <cell r="BF50"/>
          <cell r="BG50"/>
          <cell r="BH50"/>
          <cell r="BI50"/>
          <cell r="BJ50"/>
          <cell r="BK50"/>
          <cell r="BL50"/>
          <cell r="BM50"/>
          <cell r="BN50"/>
          <cell r="BO50"/>
          <cell r="BP50"/>
          <cell r="BQ50"/>
          <cell r="BR50"/>
          <cell r="BS50"/>
          <cell r="BT50"/>
          <cell r="BU50"/>
          <cell r="BV50"/>
          <cell r="BW50"/>
          <cell r="BX50"/>
          <cell r="BY50"/>
          <cell r="BZ50"/>
          <cell r="CA50"/>
          <cell r="CB50"/>
          <cell r="CC50"/>
          <cell r="CD50"/>
          <cell r="CE50"/>
          <cell r="CF50"/>
          <cell r="CG50"/>
          <cell r="CH50"/>
          <cell r="CI50"/>
          <cell r="CJ50"/>
          <cell r="CK50"/>
          <cell r="CL50"/>
          <cell r="CM50"/>
          <cell r="CN50"/>
          <cell r="CO50"/>
          <cell r="CP50"/>
          <cell r="CQ50"/>
          <cell r="CR50"/>
          <cell r="CS50"/>
          <cell r="CT50"/>
          <cell r="CU50"/>
          <cell r="CV50"/>
          <cell r="CW50"/>
          <cell r="CX50"/>
          <cell r="CY50"/>
          <cell r="CZ50"/>
          <cell r="DA50"/>
          <cell r="DB50"/>
          <cell r="DC50"/>
          <cell r="DD50"/>
          <cell r="DE50"/>
          <cell r="DF50"/>
          <cell r="DG50"/>
          <cell r="DH50"/>
          <cell r="DI50"/>
          <cell r="DJ50"/>
          <cell r="DK50"/>
          <cell r="DL50"/>
          <cell r="DM50"/>
          <cell r="DN50"/>
          <cell r="DO50"/>
          <cell r="DP50"/>
          <cell r="DQ50"/>
          <cell r="DR50"/>
          <cell r="DS50"/>
          <cell r="DT50"/>
          <cell r="DU50"/>
          <cell r="DV50"/>
          <cell r="DW50"/>
          <cell r="DX50"/>
          <cell r="ED50" t="str">
            <v>DT150-10</v>
          </cell>
          <cell r="ES50" t="str">
            <v>785C-APX3108.00.CC.2RB PUMP DRIVE GRP</v>
          </cell>
          <cell r="ET50" t="str">
            <v>785C-APX</v>
          </cell>
          <cell r="EV50" t="str">
            <v>3108.00.CC.2RB PUMP DRIVE GRP</v>
          </cell>
          <cell r="EW50">
            <v>3655.71</v>
          </cell>
          <cell r="EX50">
            <v>585</v>
          </cell>
        </row>
        <row r="51">
          <cell r="A51" t="str">
            <v>4305.RI.CC.0 STEERING LINKAGE</v>
          </cell>
          <cell r="B51" t="str">
            <v>YES</v>
          </cell>
          <cell r="M51" t="str">
            <v>4305.LT.CC.0 STEERING LINKAGE</v>
          </cell>
          <cell r="N51"/>
          <cell r="O51"/>
          <cell r="P51"/>
          <cell r="Q51"/>
          <cell r="R51"/>
          <cell r="S51"/>
          <cell r="T51"/>
          <cell r="U51"/>
          <cell r="V51"/>
          <cell r="W51" t="str">
            <v>DT150-10</v>
          </cell>
          <cell r="X51"/>
          <cell r="Y51"/>
          <cell r="Z51"/>
          <cell r="AA51"/>
          <cell r="AB51"/>
          <cell r="AC51"/>
          <cell r="AD51"/>
          <cell r="AE51"/>
          <cell r="AF51"/>
          <cell r="AG51"/>
          <cell r="AH51"/>
          <cell r="AI51"/>
          <cell r="AJ51"/>
          <cell r="AK51"/>
          <cell r="AL51"/>
          <cell r="AM51"/>
          <cell r="AN51"/>
          <cell r="AO51"/>
          <cell r="AP51"/>
          <cell r="AQ51"/>
          <cell r="AR51"/>
          <cell r="AS51"/>
          <cell r="AT51"/>
          <cell r="AU51"/>
          <cell r="AV51"/>
          <cell r="AW51"/>
          <cell r="AX51"/>
          <cell r="AY51"/>
          <cell r="AZ51"/>
          <cell r="BA51"/>
          <cell r="BB51"/>
          <cell r="BC51"/>
          <cell r="BD51"/>
          <cell r="BE51"/>
          <cell r="BF51"/>
          <cell r="BG51"/>
          <cell r="BH51"/>
          <cell r="BI51"/>
          <cell r="BJ51"/>
          <cell r="BK51"/>
          <cell r="BL51"/>
          <cell r="BM51"/>
          <cell r="BN51"/>
          <cell r="BO51"/>
          <cell r="BP51"/>
          <cell r="BQ51"/>
          <cell r="BR51"/>
          <cell r="BS51"/>
          <cell r="BT51"/>
          <cell r="BU51"/>
          <cell r="BV51"/>
          <cell r="BW51"/>
          <cell r="BX51"/>
          <cell r="BY51"/>
          <cell r="BZ51"/>
          <cell r="CA51"/>
          <cell r="CB51"/>
          <cell r="CC51"/>
          <cell r="CD51"/>
          <cell r="CE51"/>
          <cell r="CF51"/>
          <cell r="CG51"/>
          <cell r="CH51"/>
          <cell r="CI51"/>
          <cell r="CJ51"/>
          <cell r="CK51"/>
          <cell r="CL51"/>
          <cell r="CM51"/>
          <cell r="CN51"/>
          <cell r="CO51"/>
          <cell r="CP51"/>
          <cell r="CQ51"/>
          <cell r="CR51"/>
          <cell r="CS51"/>
          <cell r="CT51"/>
          <cell r="CU51"/>
          <cell r="CV51"/>
          <cell r="CW51"/>
          <cell r="CX51"/>
          <cell r="CY51"/>
          <cell r="CZ51"/>
          <cell r="DA51"/>
          <cell r="DB51"/>
          <cell r="DC51"/>
          <cell r="DD51"/>
          <cell r="DE51"/>
          <cell r="DF51"/>
          <cell r="DG51"/>
          <cell r="DH51"/>
          <cell r="DI51"/>
          <cell r="DJ51"/>
          <cell r="DK51"/>
          <cell r="DL51"/>
          <cell r="DM51"/>
          <cell r="DN51"/>
          <cell r="DO51"/>
          <cell r="DP51"/>
          <cell r="DQ51"/>
          <cell r="DR51"/>
          <cell r="DS51"/>
          <cell r="DT51"/>
          <cell r="DU51"/>
          <cell r="DV51"/>
          <cell r="DW51"/>
          <cell r="DX51"/>
          <cell r="ED51" t="str">
            <v>DT150-10</v>
          </cell>
          <cell r="ES51" t="str">
            <v>785C-APX3115.00.CC.0 POWER TRAIN SCAVENGE PUMP</v>
          </cell>
          <cell r="ET51" t="str">
            <v>785C-APX</v>
          </cell>
          <cell r="EV51" t="str">
            <v>3115.00.CC.0 POWER TRAIN SCAVENGE PUMP</v>
          </cell>
          <cell r="EW51">
            <v>4395.7544552912404</v>
          </cell>
          <cell r="EX51">
            <v>130</v>
          </cell>
        </row>
        <row r="52">
          <cell r="A52" t="str">
            <v>4306.00.CC.0 STEERING PUMP</v>
          </cell>
          <cell r="B52" t="str">
            <v>YES</v>
          </cell>
          <cell r="M52" t="str">
            <v>4305.RI.CC.0 STEERING LINKAGE</v>
          </cell>
          <cell r="N52"/>
          <cell r="O52"/>
          <cell r="P52"/>
          <cell r="Q52"/>
          <cell r="R52"/>
          <cell r="S52"/>
          <cell r="T52"/>
          <cell r="U52"/>
          <cell r="V52"/>
          <cell r="W52" t="str">
            <v>DT150-10</v>
          </cell>
          <cell r="X52"/>
          <cell r="Y52"/>
          <cell r="Z52"/>
          <cell r="AA52"/>
          <cell r="AB52"/>
          <cell r="AC52"/>
          <cell r="AD52"/>
          <cell r="AE52"/>
          <cell r="AF52"/>
          <cell r="AG52"/>
          <cell r="AH52"/>
          <cell r="AI52"/>
          <cell r="AJ52"/>
          <cell r="AK52"/>
          <cell r="AL52"/>
          <cell r="AM52"/>
          <cell r="AN52"/>
          <cell r="AO52"/>
          <cell r="AP52"/>
          <cell r="AQ52"/>
          <cell r="AR52"/>
          <cell r="AS52"/>
          <cell r="AT52"/>
          <cell r="AU52"/>
          <cell r="AV52"/>
          <cell r="AW52"/>
          <cell r="AX52"/>
          <cell r="AY52"/>
          <cell r="AZ52"/>
          <cell r="BA52"/>
          <cell r="BB52"/>
          <cell r="BC52"/>
          <cell r="BD52"/>
          <cell r="BE52"/>
          <cell r="BF52"/>
          <cell r="BG52"/>
          <cell r="BH52"/>
          <cell r="BI52"/>
          <cell r="BJ52"/>
          <cell r="BK52"/>
          <cell r="BL52"/>
          <cell r="BM52"/>
          <cell r="BN52"/>
          <cell r="BO52"/>
          <cell r="BP52"/>
          <cell r="BQ52"/>
          <cell r="BR52"/>
          <cell r="BS52"/>
          <cell r="BT52"/>
          <cell r="BU52"/>
          <cell r="BV52"/>
          <cell r="BW52"/>
          <cell r="BX52"/>
          <cell r="BY52"/>
          <cell r="BZ52"/>
          <cell r="CA52"/>
          <cell r="CB52"/>
          <cell r="CC52"/>
          <cell r="CD52"/>
          <cell r="CE52"/>
          <cell r="CF52"/>
          <cell r="CG52"/>
          <cell r="CH52"/>
          <cell r="CI52"/>
          <cell r="CJ52"/>
          <cell r="CK52"/>
          <cell r="CL52"/>
          <cell r="CM52"/>
          <cell r="CN52"/>
          <cell r="CO52"/>
          <cell r="CP52"/>
          <cell r="CQ52"/>
          <cell r="CR52"/>
          <cell r="CS52"/>
          <cell r="CT52"/>
          <cell r="CU52"/>
          <cell r="CV52"/>
          <cell r="CW52"/>
          <cell r="CX52"/>
          <cell r="CY52"/>
          <cell r="CZ52"/>
          <cell r="DA52"/>
          <cell r="DB52"/>
          <cell r="DC52"/>
          <cell r="DD52"/>
          <cell r="DE52"/>
          <cell r="DF52"/>
          <cell r="DG52"/>
          <cell r="DH52"/>
          <cell r="DI52"/>
          <cell r="DJ52"/>
          <cell r="DK52"/>
          <cell r="DL52"/>
          <cell r="DM52"/>
          <cell r="DN52"/>
          <cell r="DO52"/>
          <cell r="DP52"/>
          <cell r="DQ52"/>
          <cell r="DR52"/>
          <cell r="DS52"/>
          <cell r="DT52"/>
          <cell r="DU52"/>
          <cell r="DV52"/>
          <cell r="DW52"/>
          <cell r="DX52"/>
          <cell r="ED52" t="str">
            <v>DT150-10</v>
          </cell>
          <cell r="ES52" t="str">
            <v>785C-APX3142.00.GR.0 AUTOMATIC RETARDER CONTROL</v>
          </cell>
          <cell r="ET52" t="str">
            <v>785C-APX</v>
          </cell>
          <cell r="EV52" t="str">
            <v>3142.00.GR.0 AUTOMATIC RETARDER CONTROL</v>
          </cell>
          <cell r="EW52">
            <v>561.86</v>
          </cell>
          <cell r="EX52">
            <v>390</v>
          </cell>
        </row>
        <row r="53">
          <cell r="A53" t="str">
            <v>4307.00.CC.0 STEERING VALVE</v>
          </cell>
          <cell r="B53" t="str">
            <v>YES</v>
          </cell>
          <cell r="M53" t="str">
            <v>4306.00.CC.0 STEERING PUMP</v>
          </cell>
          <cell r="N53"/>
          <cell r="O53"/>
          <cell r="P53"/>
          <cell r="Q53"/>
          <cell r="R53"/>
          <cell r="S53"/>
          <cell r="T53"/>
          <cell r="U53"/>
          <cell r="V53"/>
          <cell r="W53" t="str">
            <v>DT150-10</v>
          </cell>
          <cell r="X53"/>
          <cell r="Y53"/>
          <cell r="Z53"/>
          <cell r="AA53"/>
          <cell r="AB53"/>
          <cell r="AC53"/>
          <cell r="AD53"/>
          <cell r="AE53"/>
          <cell r="AF53"/>
          <cell r="AG53"/>
          <cell r="AH53"/>
          <cell r="AI53"/>
          <cell r="AJ53"/>
          <cell r="AK53"/>
          <cell r="AL53"/>
          <cell r="AM53"/>
          <cell r="AN53"/>
          <cell r="AO53"/>
          <cell r="AP53"/>
          <cell r="AQ53"/>
          <cell r="AR53"/>
          <cell r="AS53"/>
          <cell r="AT53"/>
          <cell r="AU53"/>
          <cell r="AV53"/>
          <cell r="AW53"/>
          <cell r="AX53"/>
          <cell r="AY53"/>
          <cell r="AZ53"/>
          <cell r="BA53"/>
          <cell r="BB53"/>
          <cell r="BC53"/>
          <cell r="BD53"/>
          <cell r="BE53"/>
          <cell r="BF53"/>
          <cell r="BG53"/>
          <cell r="BH53"/>
          <cell r="BI53"/>
          <cell r="BJ53"/>
          <cell r="BK53"/>
          <cell r="BL53"/>
          <cell r="BM53"/>
          <cell r="BN53"/>
          <cell r="BO53"/>
          <cell r="BP53"/>
          <cell r="BQ53"/>
          <cell r="BR53"/>
          <cell r="BS53"/>
          <cell r="BT53"/>
          <cell r="BU53"/>
          <cell r="BV53"/>
          <cell r="BW53"/>
          <cell r="BX53"/>
          <cell r="BY53"/>
          <cell r="BZ53"/>
          <cell r="CA53"/>
          <cell r="CB53"/>
          <cell r="CC53"/>
          <cell r="CD53"/>
          <cell r="CE53"/>
          <cell r="CF53"/>
          <cell r="CG53"/>
          <cell r="CH53"/>
          <cell r="CI53"/>
          <cell r="CJ53"/>
          <cell r="CK53"/>
          <cell r="CL53"/>
          <cell r="CM53"/>
          <cell r="CN53"/>
          <cell r="CO53"/>
          <cell r="CP53"/>
          <cell r="CQ53"/>
          <cell r="CR53"/>
          <cell r="CS53"/>
          <cell r="CT53"/>
          <cell r="CU53"/>
          <cell r="CV53"/>
          <cell r="CW53"/>
          <cell r="CX53"/>
          <cell r="CY53"/>
          <cell r="CZ53"/>
          <cell r="DA53"/>
          <cell r="DB53"/>
          <cell r="DC53"/>
          <cell r="DD53"/>
          <cell r="DE53"/>
          <cell r="DF53"/>
          <cell r="DG53"/>
          <cell r="DH53"/>
          <cell r="DI53"/>
          <cell r="DJ53"/>
          <cell r="DK53"/>
          <cell r="DL53"/>
          <cell r="DM53"/>
          <cell r="DN53"/>
          <cell r="DO53"/>
          <cell r="DP53"/>
          <cell r="DQ53"/>
          <cell r="DR53"/>
          <cell r="DS53"/>
          <cell r="DT53"/>
          <cell r="DU53"/>
          <cell r="DV53"/>
          <cell r="DW53"/>
          <cell r="DX53"/>
          <cell r="ED53" t="str">
            <v>DT150-10</v>
          </cell>
          <cell r="ES53" t="str">
            <v>785C-APX3251.MV.CC.0 UNIVERSAL JOINT</v>
          </cell>
          <cell r="ET53" t="str">
            <v>785C-APX</v>
          </cell>
          <cell r="EV53" t="str">
            <v>3251.MV.CC.0 UNIVERSAL JOINT</v>
          </cell>
          <cell r="EW53">
            <v>4073.8924999999999</v>
          </cell>
          <cell r="EX53">
            <v>130</v>
          </cell>
        </row>
        <row r="54">
          <cell r="A54" t="str">
            <v>4312.00.CC.0 HMU</v>
          </cell>
          <cell r="B54" t="str">
            <v>YES</v>
          </cell>
          <cell r="M54" t="str">
            <v>4307.00.CC.0 STEERING VALVE</v>
          </cell>
          <cell r="N54"/>
          <cell r="O54"/>
          <cell r="P54"/>
          <cell r="Q54"/>
          <cell r="R54"/>
          <cell r="S54"/>
          <cell r="T54"/>
          <cell r="U54"/>
          <cell r="V54"/>
          <cell r="W54" t="str">
            <v>DT150-10</v>
          </cell>
          <cell r="X54"/>
          <cell r="Y54"/>
          <cell r="Z54"/>
          <cell r="AA54"/>
          <cell r="AB54"/>
          <cell r="AC54"/>
          <cell r="AD54"/>
          <cell r="AE54"/>
          <cell r="AF54"/>
          <cell r="AG54"/>
          <cell r="AH54"/>
          <cell r="AI54"/>
          <cell r="AJ54"/>
          <cell r="AK54"/>
          <cell r="AL54"/>
          <cell r="AM54"/>
          <cell r="AN54"/>
          <cell r="AO54"/>
          <cell r="AP54"/>
          <cell r="AQ54"/>
          <cell r="AR54"/>
          <cell r="AS54"/>
          <cell r="AT54"/>
          <cell r="AU54"/>
          <cell r="AV54"/>
          <cell r="AW54"/>
          <cell r="AX54"/>
          <cell r="AY54"/>
          <cell r="AZ54"/>
          <cell r="BA54"/>
          <cell r="BB54"/>
          <cell r="BC54"/>
          <cell r="BD54"/>
          <cell r="BE54"/>
          <cell r="BF54"/>
          <cell r="BG54"/>
          <cell r="BH54"/>
          <cell r="BI54"/>
          <cell r="BJ54"/>
          <cell r="BK54"/>
          <cell r="BL54"/>
          <cell r="BM54"/>
          <cell r="BN54"/>
          <cell r="BO54"/>
          <cell r="BP54"/>
          <cell r="BQ54"/>
          <cell r="BR54"/>
          <cell r="BS54"/>
          <cell r="BT54"/>
          <cell r="BU54"/>
          <cell r="BV54"/>
          <cell r="BW54"/>
          <cell r="BX54"/>
          <cell r="BY54"/>
          <cell r="BZ54"/>
          <cell r="CA54"/>
          <cell r="CB54"/>
          <cell r="CC54"/>
          <cell r="CD54"/>
          <cell r="CE54"/>
          <cell r="CF54"/>
          <cell r="CG54"/>
          <cell r="CH54"/>
          <cell r="CI54"/>
          <cell r="CJ54"/>
          <cell r="CK54"/>
          <cell r="CL54"/>
          <cell r="CM54"/>
          <cell r="CN54"/>
          <cell r="CO54"/>
          <cell r="CP54"/>
          <cell r="CQ54"/>
          <cell r="CR54"/>
          <cell r="CS54"/>
          <cell r="CT54"/>
          <cell r="CU54"/>
          <cell r="CV54"/>
          <cell r="CW54"/>
          <cell r="CX54"/>
          <cell r="CY54"/>
          <cell r="CZ54"/>
          <cell r="DA54"/>
          <cell r="DB54"/>
          <cell r="DC54"/>
          <cell r="DD54"/>
          <cell r="DE54"/>
          <cell r="DF54"/>
          <cell r="DG54"/>
          <cell r="DH54"/>
          <cell r="DI54"/>
          <cell r="DJ54"/>
          <cell r="DK54"/>
          <cell r="DL54"/>
          <cell r="DM54"/>
          <cell r="DN54"/>
          <cell r="DO54"/>
          <cell r="DP54"/>
          <cell r="DQ54"/>
          <cell r="DR54"/>
          <cell r="DS54"/>
          <cell r="DT54"/>
          <cell r="DU54"/>
          <cell r="DV54"/>
          <cell r="DW54"/>
          <cell r="DX54"/>
          <cell r="ED54" t="str">
            <v>DT150-10</v>
          </cell>
          <cell r="ES54" t="str">
            <v>785C-APX3251.PD.CC.0 UNIVERSAL JOINT</v>
          </cell>
          <cell r="ET54" t="str">
            <v>785C-APX</v>
          </cell>
          <cell r="EV54" t="str">
            <v>3251.PD.CC.0 UNIVERSAL JOINT</v>
          </cell>
          <cell r="EW54">
            <v>215.8</v>
          </cell>
          <cell r="EX54">
            <v>130</v>
          </cell>
        </row>
        <row r="55">
          <cell r="A55" t="str">
            <v>4331.FR.CC.0 STEERING ACCUMULATOR</v>
          </cell>
          <cell r="B55" t="str">
            <v>YES</v>
          </cell>
          <cell r="M55" t="str">
            <v>4312.00.CC.0 HMU</v>
          </cell>
          <cell r="N55"/>
          <cell r="O55"/>
          <cell r="P55"/>
          <cell r="Q55"/>
          <cell r="R55"/>
          <cell r="S55"/>
          <cell r="T55"/>
          <cell r="U55"/>
          <cell r="V55"/>
          <cell r="W55"/>
          <cell r="X55"/>
          <cell r="Y55"/>
          <cell r="Z55"/>
          <cell r="AA55"/>
          <cell r="AB55"/>
          <cell r="AC55"/>
          <cell r="AD55"/>
          <cell r="AE55"/>
          <cell r="AF55"/>
          <cell r="AG55"/>
          <cell r="AH55"/>
          <cell r="AI55"/>
          <cell r="AJ55"/>
          <cell r="AK55"/>
          <cell r="AL55"/>
          <cell r="AM55"/>
          <cell r="AN55"/>
          <cell r="AO55"/>
          <cell r="AP55"/>
          <cell r="AQ55"/>
          <cell r="AR55"/>
          <cell r="AS55"/>
          <cell r="AT55"/>
          <cell r="AU55"/>
          <cell r="AV55"/>
          <cell r="AW55"/>
          <cell r="AX55"/>
          <cell r="AY55"/>
          <cell r="AZ55"/>
          <cell r="BA55"/>
          <cell r="BB55"/>
          <cell r="BC55"/>
          <cell r="BD55"/>
          <cell r="BE55"/>
          <cell r="BF55"/>
          <cell r="BG55"/>
          <cell r="BH55"/>
          <cell r="BI55"/>
          <cell r="BJ55"/>
          <cell r="BK55"/>
          <cell r="BL55"/>
          <cell r="BM55"/>
          <cell r="BN55"/>
          <cell r="BO55"/>
          <cell r="BP55"/>
          <cell r="BQ55"/>
          <cell r="BR55"/>
          <cell r="BS55"/>
          <cell r="BT55"/>
          <cell r="BU55"/>
          <cell r="BV55"/>
          <cell r="BW55"/>
          <cell r="BX55"/>
          <cell r="BY55"/>
          <cell r="BZ55"/>
          <cell r="CA55"/>
          <cell r="CB55"/>
          <cell r="CC55"/>
          <cell r="CD55"/>
          <cell r="CE55"/>
          <cell r="CF55"/>
          <cell r="CG55"/>
          <cell r="CH55"/>
          <cell r="CI55"/>
          <cell r="CJ55"/>
          <cell r="CK55"/>
          <cell r="CL55"/>
          <cell r="CM55"/>
          <cell r="CN55"/>
          <cell r="CO55"/>
          <cell r="CP55"/>
          <cell r="CQ55"/>
          <cell r="CR55"/>
          <cell r="CS55"/>
          <cell r="CT55"/>
          <cell r="CU55"/>
          <cell r="CV55"/>
          <cell r="CW55"/>
          <cell r="CX55"/>
          <cell r="CY55"/>
          <cell r="CZ55"/>
          <cell r="DA55"/>
          <cell r="DB55"/>
          <cell r="DC55"/>
          <cell r="DD55"/>
          <cell r="DE55"/>
          <cell r="DF55"/>
          <cell r="DG55"/>
          <cell r="DH55"/>
          <cell r="DI55"/>
          <cell r="DJ55"/>
          <cell r="DK55"/>
          <cell r="DL55"/>
          <cell r="DM55"/>
          <cell r="DN55"/>
          <cell r="DO55"/>
          <cell r="DP55"/>
          <cell r="DQ55"/>
          <cell r="DR55"/>
          <cell r="DS55"/>
          <cell r="DT55"/>
          <cell r="DU55"/>
          <cell r="DV55"/>
          <cell r="DW55"/>
          <cell r="DX55"/>
          <cell r="ED55"/>
          <cell r="ES55" t="str">
            <v>785C-APX3251.PD.RI.0 UNIVERSAL JOINT</v>
          </cell>
          <cell r="ET55" t="str">
            <v>785C-APX</v>
          </cell>
          <cell r="EV55" t="str">
            <v>3251.PD.RI.0 UNIVERSAL JOINT</v>
          </cell>
          <cell r="EW55">
            <v>0</v>
          </cell>
          <cell r="EX55">
            <v>65</v>
          </cell>
        </row>
        <row r="56">
          <cell r="A56" t="str">
            <v>4331.LF.CC.0 STEERING ACCUMULATOR</v>
          </cell>
          <cell r="B56" t="str">
            <v>YES</v>
          </cell>
          <cell r="M56" t="str">
            <v>4331.FR.CC.0 STEERING ACCUMULATOR</v>
          </cell>
          <cell r="N56"/>
          <cell r="O56"/>
          <cell r="P56"/>
          <cell r="Q56"/>
          <cell r="R56"/>
          <cell r="S56"/>
          <cell r="T56"/>
          <cell r="U56"/>
          <cell r="V56"/>
          <cell r="W56"/>
          <cell r="X56"/>
          <cell r="Y56"/>
          <cell r="Z56"/>
          <cell r="AA56"/>
          <cell r="AB56"/>
          <cell r="AC56"/>
          <cell r="AD56"/>
          <cell r="AE56"/>
          <cell r="AF56"/>
          <cell r="AG56"/>
          <cell r="AH56"/>
          <cell r="AI56"/>
          <cell r="AJ56"/>
          <cell r="AK56"/>
          <cell r="AL56"/>
          <cell r="AM56"/>
          <cell r="AN56"/>
          <cell r="AO56"/>
          <cell r="AP56"/>
          <cell r="AQ56"/>
          <cell r="AR56"/>
          <cell r="AS56"/>
          <cell r="AT56"/>
          <cell r="AU56"/>
          <cell r="AV56"/>
          <cell r="AW56"/>
          <cell r="AX56"/>
          <cell r="AY56"/>
          <cell r="AZ56"/>
          <cell r="BA56"/>
          <cell r="BB56"/>
          <cell r="BC56"/>
          <cell r="BD56"/>
          <cell r="BE56"/>
          <cell r="BF56"/>
          <cell r="BG56"/>
          <cell r="BH56"/>
          <cell r="BI56"/>
          <cell r="BJ56"/>
          <cell r="BK56"/>
          <cell r="BL56"/>
          <cell r="BM56"/>
          <cell r="BN56"/>
          <cell r="BO56"/>
          <cell r="BP56"/>
          <cell r="BQ56"/>
          <cell r="BR56"/>
          <cell r="BS56"/>
          <cell r="BT56"/>
          <cell r="BU56"/>
          <cell r="BV56"/>
          <cell r="BW56"/>
          <cell r="BX56"/>
          <cell r="BY56"/>
          <cell r="BZ56"/>
          <cell r="CA56"/>
          <cell r="CB56"/>
          <cell r="CC56"/>
          <cell r="CD56"/>
          <cell r="CE56"/>
          <cell r="CF56"/>
          <cell r="CG56"/>
          <cell r="CH56"/>
          <cell r="CI56"/>
          <cell r="CJ56"/>
          <cell r="CK56"/>
          <cell r="CL56"/>
          <cell r="CM56"/>
          <cell r="CN56"/>
          <cell r="CO56"/>
          <cell r="CP56"/>
          <cell r="CQ56"/>
          <cell r="CR56"/>
          <cell r="CS56"/>
          <cell r="CT56"/>
          <cell r="CU56"/>
          <cell r="CV56"/>
          <cell r="CW56"/>
          <cell r="CX56"/>
          <cell r="CY56"/>
          <cell r="CZ56"/>
          <cell r="DA56"/>
          <cell r="DB56"/>
          <cell r="DC56"/>
          <cell r="DD56"/>
          <cell r="DE56"/>
          <cell r="DF56"/>
          <cell r="DG56"/>
          <cell r="DH56"/>
          <cell r="DI56"/>
          <cell r="DJ56"/>
          <cell r="DK56"/>
          <cell r="DL56"/>
          <cell r="DM56"/>
          <cell r="DN56"/>
          <cell r="DO56"/>
          <cell r="DP56"/>
          <cell r="DQ56"/>
          <cell r="DR56"/>
          <cell r="DS56"/>
          <cell r="DT56"/>
          <cell r="DU56"/>
          <cell r="DV56"/>
          <cell r="DW56"/>
          <cell r="DX56"/>
          <cell r="ED56"/>
          <cell r="ES56" t="str">
            <v>785C-APX3253.MV.CC.0 DRIVESHAFT</v>
          </cell>
          <cell r="ET56" t="str">
            <v>785C-APX</v>
          </cell>
          <cell r="EV56" t="str">
            <v>3253.MV.CC.0 DRIVESHAFT</v>
          </cell>
          <cell r="EW56">
            <v>6616.79</v>
          </cell>
          <cell r="EX56">
            <v>325</v>
          </cell>
        </row>
        <row r="57">
          <cell r="A57" t="str">
            <v>4331.RE.CC.0 STEERING ACCUMULATOR</v>
          </cell>
          <cell r="B57" t="str">
            <v>YES</v>
          </cell>
          <cell r="M57" t="str">
            <v>4331.LF.CC.0 STEERING ACCUMULATOR</v>
          </cell>
          <cell r="N57"/>
          <cell r="O57"/>
          <cell r="P57"/>
          <cell r="Q57"/>
          <cell r="R57"/>
          <cell r="S57"/>
          <cell r="T57"/>
          <cell r="U57"/>
          <cell r="V57"/>
          <cell r="W57"/>
          <cell r="X57"/>
          <cell r="Y57"/>
          <cell r="Z57"/>
          <cell r="AA57"/>
          <cell r="AB57"/>
          <cell r="AC57"/>
          <cell r="AD57"/>
          <cell r="AE57"/>
          <cell r="AF57"/>
          <cell r="AG57"/>
          <cell r="AH57"/>
          <cell r="AI57"/>
          <cell r="AJ57"/>
          <cell r="AK57"/>
          <cell r="AL57"/>
          <cell r="AM57"/>
          <cell r="AN57"/>
          <cell r="AO57"/>
          <cell r="AP57"/>
          <cell r="AQ57"/>
          <cell r="AR57"/>
          <cell r="AS57"/>
          <cell r="AT57"/>
          <cell r="AU57"/>
          <cell r="AV57"/>
          <cell r="AW57"/>
          <cell r="AX57"/>
          <cell r="AY57"/>
          <cell r="AZ57"/>
          <cell r="BA57"/>
          <cell r="BB57"/>
          <cell r="BC57"/>
          <cell r="BD57"/>
          <cell r="BE57"/>
          <cell r="BF57"/>
          <cell r="BG57"/>
          <cell r="BH57"/>
          <cell r="BI57"/>
          <cell r="BJ57"/>
          <cell r="BK57"/>
          <cell r="BL57"/>
          <cell r="BM57"/>
          <cell r="BN57"/>
          <cell r="BO57"/>
          <cell r="BP57"/>
          <cell r="BQ57"/>
          <cell r="BR57"/>
          <cell r="BS57"/>
          <cell r="BT57"/>
          <cell r="BU57"/>
          <cell r="BV57"/>
          <cell r="BW57"/>
          <cell r="BX57"/>
          <cell r="BY57"/>
          <cell r="BZ57"/>
          <cell r="CA57"/>
          <cell r="CB57"/>
          <cell r="CC57"/>
          <cell r="CD57"/>
          <cell r="CE57"/>
          <cell r="CF57"/>
          <cell r="CG57"/>
          <cell r="CH57"/>
          <cell r="CI57"/>
          <cell r="CJ57"/>
          <cell r="CK57"/>
          <cell r="CL57"/>
          <cell r="CM57"/>
          <cell r="CN57"/>
          <cell r="CO57"/>
          <cell r="CP57"/>
          <cell r="CQ57"/>
          <cell r="CR57"/>
          <cell r="CS57"/>
          <cell r="CT57"/>
          <cell r="CU57"/>
          <cell r="CV57"/>
          <cell r="CW57"/>
          <cell r="CX57"/>
          <cell r="CY57"/>
          <cell r="CZ57"/>
          <cell r="DA57"/>
          <cell r="DB57"/>
          <cell r="DC57"/>
          <cell r="DD57"/>
          <cell r="DE57"/>
          <cell r="DF57"/>
          <cell r="DG57"/>
          <cell r="DH57"/>
          <cell r="DI57"/>
          <cell r="DJ57"/>
          <cell r="DK57"/>
          <cell r="DL57"/>
          <cell r="DM57"/>
          <cell r="DN57"/>
          <cell r="DO57"/>
          <cell r="DP57"/>
          <cell r="DQ57"/>
          <cell r="DR57"/>
          <cell r="DS57"/>
          <cell r="DT57"/>
          <cell r="DU57"/>
          <cell r="DV57"/>
          <cell r="DW57"/>
          <cell r="DX57"/>
          <cell r="ED57"/>
          <cell r="ES57" t="str">
            <v>785C-APX3253.MV.RI.0 DRIVESHAFT</v>
          </cell>
          <cell r="ET57" t="str">
            <v>785C-APX</v>
          </cell>
          <cell r="EV57" t="str">
            <v>3253.MV.RI.0 DRIVESHAFT</v>
          </cell>
          <cell r="EW57">
            <v>13.452</v>
          </cell>
          <cell r="EX57">
            <v>65</v>
          </cell>
        </row>
        <row r="58">
          <cell r="A58" t="str">
            <v>4331.RF.CC.0 STEERING ACCUMULATOR</v>
          </cell>
          <cell r="B58" t="str">
            <v>YES</v>
          </cell>
          <cell r="M58" t="str">
            <v>4331.RE.CC.0 STEERING ACCUMULATOR</v>
          </cell>
          <cell r="N58"/>
          <cell r="O58"/>
          <cell r="P58"/>
          <cell r="Q58"/>
          <cell r="R58"/>
          <cell r="S58"/>
          <cell r="T58"/>
          <cell r="U58"/>
          <cell r="V58"/>
          <cell r="W58"/>
          <cell r="X58"/>
          <cell r="Y58"/>
          <cell r="Z58"/>
          <cell r="AA58"/>
          <cell r="AB58"/>
          <cell r="AC58"/>
          <cell r="AD58"/>
          <cell r="AE58"/>
          <cell r="AF58"/>
          <cell r="AG58"/>
          <cell r="AH58"/>
          <cell r="AI58"/>
          <cell r="AJ58"/>
          <cell r="AK58"/>
          <cell r="AL58"/>
          <cell r="AM58"/>
          <cell r="AN58"/>
          <cell r="AO58"/>
          <cell r="AP58"/>
          <cell r="AQ58"/>
          <cell r="AR58"/>
          <cell r="AS58"/>
          <cell r="AT58"/>
          <cell r="AU58"/>
          <cell r="AV58"/>
          <cell r="AW58"/>
          <cell r="AX58"/>
          <cell r="AY58"/>
          <cell r="AZ58"/>
          <cell r="BA58"/>
          <cell r="BB58"/>
          <cell r="BC58"/>
          <cell r="BD58"/>
          <cell r="BE58"/>
          <cell r="BF58"/>
          <cell r="BG58"/>
          <cell r="BH58"/>
          <cell r="BI58"/>
          <cell r="BJ58"/>
          <cell r="BK58"/>
          <cell r="BL58"/>
          <cell r="BM58"/>
          <cell r="BN58"/>
          <cell r="BO58"/>
          <cell r="BP58"/>
          <cell r="BQ58"/>
          <cell r="BR58"/>
          <cell r="BS58"/>
          <cell r="BT58"/>
          <cell r="BU58"/>
          <cell r="BV58"/>
          <cell r="BW58"/>
          <cell r="BX58"/>
          <cell r="BY58"/>
          <cell r="BZ58"/>
          <cell r="CA58"/>
          <cell r="CB58"/>
          <cell r="CC58"/>
          <cell r="CD58"/>
          <cell r="CE58"/>
          <cell r="CF58"/>
          <cell r="CG58"/>
          <cell r="CH58"/>
          <cell r="CI58"/>
          <cell r="CJ58"/>
          <cell r="CK58"/>
          <cell r="CL58"/>
          <cell r="CM58"/>
          <cell r="CN58"/>
          <cell r="CO58"/>
          <cell r="CP58"/>
          <cell r="CQ58"/>
          <cell r="CR58"/>
          <cell r="CS58"/>
          <cell r="CT58"/>
          <cell r="CU58"/>
          <cell r="CV58"/>
          <cell r="CW58"/>
          <cell r="CX58"/>
          <cell r="CY58"/>
          <cell r="CZ58"/>
          <cell r="DA58"/>
          <cell r="DB58"/>
          <cell r="DC58"/>
          <cell r="DD58"/>
          <cell r="DE58"/>
          <cell r="DF58"/>
          <cell r="DG58"/>
          <cell r="DH58"/>
          <cell r="DI58"/>
          <cell r="DJ58"/>
          <cell r="DK58"/>
          <cell r="DL58"/>
          <cell r="DM58"/>
          <cell r="DN58"/>
          <cell r="DO58"/>
          <cell r="DP58"/>
          <cell r="DQ58"/>
          <cell r="DR58"/>
          <cell r="DS58"/>
          <cell r="DT58"/>
          <cell r="DU58"/>
          <cell r="DV58"/>
          <cell r="DW58"/>
          <cell r="DX58"/>
          <cell r="ED58"/>
          <cell r="ES58" t="str">
            <v>785C-APX3253.PD.CC.0 DRIVESHAFT</v>
          </cell>
          <cell r="ET58" t="str">
            <v>785C-APX</v>
          </cell>
          <cell r="EV58" t="str">
            <v>3253.PD.CC.0 DRIVESHAFT</v>
          </cell>
          <cell r="EW58">
            <v>1095.56</v>
          </cell>
          <cell r="EX58">
            <v>32.5</v>
          </cell>
        </row>
        <row r="59">
          <cell r="A59" t="str">
            <v>5051.00.CC.0 HYDRAULIC CONTROL VALVE</v>
          </cell>
          <cell r="B59" t="str">
            <v>YES</v>
          </cell>
          <cell r="M59" t="str">
            <v>4331.RF.CC.0 STEERING ACCUMULATOR</v>
          </cell>
          <cell r="N59"/>
          <cell r="O59"/>
          <cell r="P59"/>
          <cell r="Q59"/>
          <cell r="R59"/>
          <cell r="S59"/>
          <cell r="T59"/>
          <cell r="U59"/>
          <cell r="V59"/>
          <cell r="W59"/>
          <cell r="X59"/>
          <cell r="Y59"/>
          <cell r="Z59"/>
          <cell r="AA59"/>
          <cell r="AB59"/>
          <cell r="AC59"/>
          <cell r="AD59"/>
          <cell r="AE59"/>
          <cell r="AF59"/>
          <cell r="AG59"/>
          <cell r="AH59"/>
          <cell r="AI59"/>
          <cell r="AJ59"/>
          <cell r="AK59"/>
          <cell r="AL59"/>
          <cell r="AM59"/>
          <cell r="AN59"/>
          <cell r="AO59"/>
          <cell r="AP59"/>
          <cell r="AQ59"/>
          <cell r="AR59"/>
          <cell r="AS59"/>
          <cell r="AT59"/>
          <cell r="AU59"/>
          <cell r="AV59"/>
          <cell r="AW59"/>
          <cell r="AX59"/>
          <cell r="AY59"/>
          <cell r="AZ59"/>
          <cell r="BA59"/>
          <cell r="BB59"/>
          <cell r="BC59"/>
          <cell r="BD59"/>
          <cell r="BE59"/>
          <cell r="BF59"/>
          <cell r="BG59"/>
          <cell r="BH59"/>
          <cell r="BI59"/>
          <cell r="BJ59"/>
          <cell r="BK59"/>
          <cell r="BL59"/>
          <cell r="BM59"/>
          <cell r="BN59"/>
          <cell r="BO59"/>
          <cell r="BP59"/>
          <cell r="BQ59"/>
          <cell r="BR59"/>
          <cell r="BS59"/>
          <cell r="BT59"/>
          <cell r="BU59"/>
          <cell r="BV59"/>
          <cell r="BW59"/>
          <cell r="BX59"/>
          <cell r="BY59"/>
          <cell r="BZ59"/>
          <cell r="CA59"/>
          <cell r="CB59"/>
          <cell r="CC59"/>
          <cell r="CD59"/>
          <cell r="CE59"/>
          <cell r="CF59"/>
          <cell r="CG59"/>
          <cell r="CH59"/>
          <cell r="CI59"/>
          <cell r="CJ59"/>
          <cell r="CK59"/>
          <cell r="CL59"/>
          <cell r="CM59"/>
          <cell r="CN59"/>
          <cell r="CO59"/>
          <cell r="CP59"/>
          <cell r="CQ59"/>
          <cell r="CR59"/>
          <cell r="CS59"/>
          <cell r="CT59"/>
          <cell r="CU59"/>
          <cell r="CV59"/>
          <cell r="CW59"/>
          <cell r="CX59"/>
          <cell r="CY59"/>
          <cell r="CZ59"/>
          <cell r="DA59"/>
          <cell r="DB59"/>
          <cell r="DC59"/>
          <cell r="DD59"/>
          <cell r="DE59"/>
          <cell r="DF59"/>
          <cell r="DG59"/>
          <cell r="DH59"/>
          <cell r="DI59"/>
          <cell r="DJ59"/>
          <cell r="DK59"/>
          <cell r="DL59"/>
          <cell r="DM59"/>
          <cell r="DN59"/>
          <cell r="DO59"/>
          <cell r="DP59"/>
          <cell r="DQ59"/>
          <cell r="DR59"/>
          <cell r="DS59"/>
          <cell r="DT59"/>
          <cell r="DU59"/>
          <cell r="DV59"/>
          <cell r="DW59"/>
          <cell r="DX59"/>
          <cell r="ED59"/>
          <cell r="ES59" t="str">
            <v>785C-APX3258.00.CC.1RB DIFFERENTIAL</v>
          </cell>
          <cell r="ET59" t="str">
            <v>785C-APX</v>
          </cell>
          <cell r="EV59" t="str">
            <v>3258.00.CC.1RB DIFFERENTIAL</v>
          </cell>
          <cell r="EW59">
            <v>15452.5</v>
          </cell>
          <cell r="EX59">
            <v>1560</v>
          </cell>
        </row>
        <row r="60">
          <cell r="A60" t="str">
            <v>5057.HQ.CC.0 HYDRAULIC HOSE/LINES</v>
          </cell>
          <cell r="B60" t="str">
            <v>YES</v>
          </cell>
          <cell r="M60" t="str">
            <v>5051.00.CC.0 HYDRAULIC CONTROL VALVE</v>
          </cell>
          <cell r="N60"/>
          <cell r="O60"/>
          <cell r="P60"/>
          <cell r="Q60"/>
          <cell r="R60"/>
          <cell r="S60"/>
          <cell r="T60"/>
          <cell r="U60"/>
          <cell r="V60"/>
          <cell r="W60"/>
          <cell r="X60"/>
          <cell r="Y60"/>
          <cell r="Z60"/>
          <cell r="AA60"/>
          <cell r="AB60"/>
          <cell r="AC60"/>
          <cell r="AD60"/>
          <cell r="AE60"/>
          <cell r="AF60"/>
          <cell r="AG60"/>
          <cell r="AH60"/>
          <cell r="AI60"/>
          <cell r="AJ60"/>
          <cell r="AK60"/>
          <cell r="AL60"/>
          <cell r="AM60"/>
          <cell r="AN60"/>
          <cell r="AO60"/>
          <cell r="AP60"/>
          <cell r="AQ60"/>
          <cell r="AR60"/>
          <cell r="AS60"/>
          <cell r="AT60"/>
          <cell r="AU60"/>
          <cell r="AV60"/>
          <cell r="AW60"/>
          <cell r="AX60"/>
          <cell r="AY60"/>
          <cell r="AZ60"/>
          <cell r="BA60"/>
          <cell r="BB60"/>
          <cell r="BC60"/>
          <cell r="BD60"/>
          <cell r="BE60"/>
          <cell r="BF60"/>
          <cell r="BG60"/>
          <cell r="BH60"/>
          <cell r="BI60"/>
          <cell r="BJ60"/>
          <cell r="BK60"/>
          <cell r="BL60"/>
          <cell r="BM60"/>
          <cell r="BN60"/>
          <cell r="BO60"/>
          <cell r="BP60"/>
          <cell r="BQ60"/>
          <cell r="BR60"/>
          <cell r="BS60"/>
          <cell r="BT60"/>
          <cell r="BU60"/>
          <cell r="BV60"/>
          <cell r="BW60"/>
          <cell r="BX60"/>
          <cell r="BY60"/>
          <cell r="BZ60"/>
          <cell r="CA60"/>
          <cell r="CB60"/>
          <cell r="CC60"/>
          <cell r="CD60"/>
          <cell r="CE60"/>
          <cell r="CF60"/>
          <cell r="CG60"/>
          <cell r="CH60"/>
          <cell r="CI60"/>
          <cell r="CJ60"/>
          <cell r="CK60"/>
          <cell r="CL60"/>
          <cell r="CM60"/>
          <cell r="CN60"/>
          <cell r="CO60"/>
          <cell r="CP60"/>
          <cell r="CQ60"/>
          <cell r="CR60"/>
          <cell r="CS60"/>
          <cell r="CT60"/>
          <cell r="CU60"/>
          <cell r="CV60"/>
          <cell r="CW60"/>
          <cell r="CX60"/>
          <cell r="CY60"/>
          <cell r="CZ60"/>
          <cell r="DA60"/>
          <cell r="DB60"/>
          <cell r="DC60"/>
          <cell r="DD60"/>
          <cell r="DE60"/>
          <cell r="DF60"/>
          <cell r="DG60"/>
          <cell r="DH60"/>
          <cell r="DI60"/>
          <cell r="DJ60"/>
          <cell r="DK60"/>
          <cell r="DL60"/>
          <cell r="DM60"/>
          <cell r="DN60"/>
          <cell r="DO60"/>
          <cell r="DP60"/>
          <cell r="DQ60"/>
          <cell r="DR60"/>
          <cell r="DS60"/>
          <cell r="DT60"/>
          <cell r="DU60"/>
          <cell r="DV60"/>
          <cell r="DW60"/>
          <cell r="DX60"/>
          <cell r="ED60"/>
          <cell r="ES60" t="str">
            <v>785C-APX3258.00.CC.2RB DIFFERENTIAL</v>
          </cell>
          <cell r="ET60" t="str">
            <v>785C-APX</v>
          </cell>
          <cell r="EV60" t="str">
            <v>3258.00.CC.2RB DIFFERENTIAL</v>
          </cell>
          <cell r="EW60">
            <v>31483.94</v>
          </cell>
          <cell r="EX60">
            <v>1560</v>
          </cell>
        </row>
        <row r="61">
          <cell r="A61" t="str">
            <v>5084.00.CC.0 IMPLEMENT PUMP</v>
          </cell>
          <cell r="B61" t="str">
            <v>YES</v>
          </cell>
          <cell r="M61" t="str">
            <v>5057.HQ.CC.0 HYDRAULIC HOSE/LINES</v>
          </cell>
          <cell r="N61"/>
          <cell r="O61"/>
          <cell r="P61"/>
          <cell r="Q61"/>
          <cell r="R61"/>
          <cell r="S61"/>
          <cell r="T61"/>
          <cell r="U61"/>
          <cell r="V61"/>
          <cell r="W61"/>
          <cell r="X61"/>
          <cell r="Y61"/>
          <cell r="Z61"/>
          <cell r="AA61"/>
          <cell r="AB61"/>
          <cell r="AC61"/>
          <cell r="AD61"/>
          <cell r="AE61"/>
          <cell r="AF61"/>
          <cell r="AG61"/>
          <cell r="AH61"/>
          <cell r="AI61"/>
          <cell r="AJ61"/>
          <cell r="AK61"/>
          <cell r="AL61"/>
          <cell r="AM61"/>
          <cell r="AN61"/>
          <cell r="AO61"/>
          <cell r="AP61"/>
          <cell r="AQ61"/>
          <cell r="AR61"/>
          <cell r="AS61"/>
          <cell r="AT61"/>
          <cell r="AU61"/>
          <cell r="AV61"/>
          <cell r="AW61"/>
          <cell r="AX61"/>
          <cell r="AY61"/>
          <cell r="AZ61"/>
          <cell r="BA61"/>
          <cell r="BB61"/>
          <cell r="BC61"/>
          <cell r="BD61"/>
          <cell r="BE61"/>
          <cell r="BF61"/>
          <cell r="BG61"/>
          <cell r="BH61"/>
          <cell r="BI61"/>
          <cell r="BJ61"/>
          <cell r="BK61"/>
          <cell r="BL61"/>
          <cell r="BM61"/>
          <cell r="BN61"/>
          <cell r="BO61"/>
          <cell r="BP61"/>
          <cell r="BQ61"/>
          <cell r="BR61"/>
          <cell r="BS61"/>
          <cell r="BT61"/>
          <cell r="BU61"/>
          <cell r="BV61"/>
          <cell r="BW61"/>
          <cell r="BX61"/>
          <cell r="BY61"/>
          <cell r="BZ61"/>
          <cell r="CA61"/>
          <cell r="CB61"/>
          <cell r="CC61"/>
          <cell r="CD61"/>
          <cell r="CE61"/>
          <cell r="CF61"/>
          <cell r="CG61"/>
          <cell r="CH61"/>
          <cell r="CI61"/>
          <cell r="CJ61"/>
          <cell r="CK61"/>
          <cell r="CL61"/>
          <cell r="CM61"/>
          <cell r="CN61"/>
          <cell r="CO61"/>
          <cell r="CP61"/>
          <cell r="CQ61"/>
          <cell r="CR61"/>
          <cell r="CS61"/>
          <cell r="CT61"/>
          <cell r="CU61"/>
          <cell r="CV61"/>
          <cell r="CW61"/>
          <cell r="CX61"/>
          <cell r="CY61"/>
          <cell r="CZ61"/>
          <cell r="DA61"/>
          <cell r="DB61"/>
          <cell r="DC61"/>
          <cell r="DD61"/>
          <cell r="DE61"/>
          <cell r="DF61"/>
          <cell r="DG61"/>
          <cell r="DH61"/>
          <cell r="DI61"/>
          <cell r="DJ61"/>
          <cell r="DK61"/>
          <cell r="DL61"/>
          <cell r="DM61"/>
          <cell r="DN61"/>
          <cell r="DO61"/>
          <cell r="DP61"/>
          <cell r="DQ61"/>
          <cell r="DR61"/>
          <cell r="DS61"/>
          <cell r="DT61"/>
          <cell r="DU61"/>
          <cell r="DV61"/>
          <cell r="DW61"/>
          <cell r="DX61"/>
          <cell r="ED61"/>
          <cell r="ES61" t="str">
            <v>785C-APX3259.LR.CC.0 AXLE SHAFT</v>
          </cell>
          <cell r="ET61" t="str">
            <v>785C-APX</v>
          </cell>
          <cell r="EV61" t="str">
            <v>3259.LR.CC.0 AXLE SHAFT</v>
          </cell>
          <cell r="EW61">
            <v>5490.8965216801098</v>
          </cell>
          <cell r="EX61">
            <v>32.5</v>
          </cell>
        </row>
        <row r="62">
          <cell r="A62" t="str">
            <v>5102.LT.CC.0 HOIST CYLINDER</v>
          </cell>
          <cell r="B62" t="str">
            <v>YES</v>
          </cell>
          <cell r="M62" t="str">
            <v>5084.00.CC.0 IMPLEMENT PUMP</v>
          </cell>
          <cell r="N62"/>
          <cell r="O62"/>
          <cell r="P62"/>
          <cell r="Q62"/>
          <cell r="R62"/>
          <cell r="S62"/>
          <cell r="T62"/>
          <cell r="U62"/>
          <cell r="V62"/>
          <cell r="W62"/>
          <cell r="X62"/>
          <cell r="Y62"/>
          <cell r="Z62"/>
          <cell r="AA62"/>
          <cell r="AB62"/>
          <cell r="AC62"/>
          <cell r="AD62"/>
          <cell r="AE62"/>
          <cell r="AF62"/>
          <cell r="AG62"/>
          <cell r="AH62"/>
          <cell r="AI62"/>
          <cell r="AJ62"/>
          <cell r="AK62"/>
          <cell r="AL62"/>
          <cell r="AM62"/>
          <cell r="AN62"/>
          <cell r="AO62"/>
          <cell r="AP62"/>
          <cell r="AQ62"/>
          <cell r="AR62"/>
          <cell r="AS62"/>
          <cell r="AT62"/>
          <cell r="AU62"/>
          <cell r="AV62"/>
          <cell r="AW62"/>
          <cell r="AX62"/>
          <cell r="AY62"/>
          <cell r="AZ62"/>
          <cell r="BA62"/>
          <cell r="BB62"/>
          <cell r="BC62"/>
          <cell r="BD62"/>
          <cell r="BE62"/>
          <cell r="BF62"/>
          <cell r="BG62"/>
          <cell r="BH62"/>
          <cell r="BI62"/>
          <cell r="BJ62"/>
          <cell r="BK62"/>
          <cell r="BL62"/>
          <cell r="BM62"/>
          <cell r="BN62"/>
          <cell r="BO62"/>
          <cell r="BP62"/>
          <cell r="BQ62"/>
          <cell r="BR62"/>
          <cell r="BS62"/>
          <cell r="BT62"/>
          <cell r="BU62"/>
          <cell r="BV62"/>
          <cell r="BW62"/>
          <cell r="BX62"/>
          <cell r="BY62"/>
          <cell r="BZ62"/>
          <cell r="CA62"/>
          <cell r="CB62"/>
          <cell r="CC62"/>
          <cell r="CD62"/>
          <cell r="CE62"/>
          <cell r="CF62"/>
          <cell r="CG62"/>
          <cell r="CH62"/>
          <cell r="CI62"/>
          <cell r="CJ62"/>
          <cell r="CK62"/>
          <cell r="CL62"/>
          <cell r="CM62"/>
          <cell r="CN62"/>
          <cell r="CO62"/>
          <cell r="CP62"/>
          <cell r="CQ62"/>
          <cell r="CR62"/>
          <cell r="CS62"/>
          <cell r="CT62"/>
          <cell r="CU62"/>
          <cell r="CV62"/>
          <cell r="CW62"/>
          <cell r="CX62"/>
          <cell r="CY62"/>
          <cell r="CZ62"/>
          <cell r="DA62"/>
          <cell r="DB62"/>
          <cell r="DC62"/>
          <cell r="DD62"/>
          <cell r="DE62"/>
          <cell r="DF62"/>
          <cell r="DG62"/>
          <cell r="DH62"/>
          <cell r="DI62"/>
          <cell r="DJ62"/>
          <cell r="DK62"/>
          <cell r="DL62"/>
          <cell r="DM62"/>
          <cell r="DN62"/>
          <cell r="DO62"/>
          <cell r="DP62"/>
          <cell r="DQ62"/>
          <cell r="DR62"/>
          <cell r="DS62"/>
          <cell r="DT62"/>
          <cell r="DU62"/>
          <cell r="DV62"/>
          <cell r="DW62"/>
          <cell r="DX62"/>
          <cell r="ED62"/>
          <cell r="ES62" t="str">
            <v>785C-APX3259.RR.CC.0 AXLE SHAFT</v>
          </cell>
          <cell r="ET62" t="str">
            <v>785C-APX</v>
          </cell>
          <cell r="EV62" t="str">
            <v>3259.RR.CC.0 AXLE SHAFT</v>
          </cell>
          <cell r="EW62">
            <v>5127.7817756344302</v>
          </cell>
          <cell r="EX62">
            <v>32.5</v>
          </cell>
        </row>
        <row r="63">
          <cell r="A63" t="str">
            <v>5102.RI.CC.0 HOIST CYLINDER</v>
          </cell>
          <cell r="B63" t="str">
            <v>YES</v>
          </cell>
          <cell r="M63" t="str">
            <v>5102.LT.CC.0 HOIST CYLINDER</v>
          </cell>
          <cell r="N63"/>
          <cell r="O63"/>
          <cell r="P63"/>
          <cell r="Q63"/>
          <cell r="R63"/>
          <cell r="S63"/>
          <cell r="T63"/>
          <cell r="U63"/>
          <cell r="V63"/>
          <cell r="W63"/>
          <cell r="X63"/>
          <cell r="Y63"/>
          <cell r="Z63"/>
          <cell r="AA63"/>
          <cell r="AB63"/>
          <cell r="AC63"/>
          <cell r="AD63"/>
          <cell r="AE63"/>
          <cell r="AF63"/>
          <cell r="AG63"/>
          <cell r="AH63"/>
          <cell r="AI63"/>
          <cell r="AJ63"/>
          <cell r="AK63"/>
          <cell r="AL63"/>
          <cell r="AM63"/>
          <cell r="AN63"/>
          <cell r="AO63"/>
          <cell r="AP63"/>
          <cell r="AQ63"/>
          <cell r="AR63"/>
          <cell r="AS63"/>
          <cell r="AT63"/>
          <cell r="AU63"/>
          <cell r="AV63"/>
          <cell r="AW63"/>
          <cell r="AX63"/>
          <cell r="AY63"/>
          <cell r="AZ63"/>
          <cell r="BA63"/>
          <cell r="BB63"/>
          <cell r="BC63"/>
          <cell r="BD63"/>
          <cell r="BE63"/>
          <cell r="BF63"/>
          <cell r="BG63"/>
          <cell r="BH63"/>
          <cell r="BI63"/>
          <cell r="BJ63"/>
          <cell r="BK63"/>
          <cell r="BL63"/>
          <cell r="BM63"/>
          <cell r="BN63"/>
          <cell r="BO63"/>
          <cell r="BP63"/>
          <cell r="BQ63"/>
          <cell r="BR63"/>
          <cell r="BS63"/>
          <cell r="BT63"/>
          <cell r="BU63"/>
          <cell r="BV63"/>
          <cell r="BW63"/>
          <cell r="BX63"/>
          <cell r="BY63"/>
          <cell r="BZ63"/>
          <cell r="CA63"/>
          <cell r="CB63"/>
          <cell r="CC63"/>
          <cell r="CD63"/>
          <cell r="CE63"/>
          <cell r="CF63"/>
          <cell r="CG63"/>
          <cell r="CH63"/>
          <cell r="CI63"/>
          <cell r="CJ63"/>
          <cell r="CK63"/>
          <cell r="CL63"/>
          <cell r="CM63"/>
          <cell r="CN63"/>
          <cell r="CO63"/>
          <cell r="CP63"/>
          <cell r="CQ63"/>
          <cell r="CR63"/>
          <cell r="CS63"/>
          <cell r="CT63"/>
          <cell r="CU63"/>
          <cell r="CV63"/>
          <cell r="CW63"/>
          <cell r="CX63"/>
          <cell r="CY63"/>
          <cell r="CZ63"/>
          <cell r="DA63"/>
          <cell r="DB63"/>
          <cell r="DC63"/>
          <cell r="DD63"/>
          <cell r="DE63"/>
          <cell r="DF63"/>
          <cell r="DG63"/>
          <cell r="DH63"/>
          <cell r="DI63"/>
          <cell r="DJ63"/>
          <cell r="DK63"/>
          <cell r="DL63"/>
          <cell r="DM63"/>
          <cell r="DN63"/>
          <cell r="DO63"/>
          <cell r="DP63"/>
          <cell r="DQ63"/>
          <cell r="DR63"/>
          <cell r="DS63"/>
          <cell r="DT63"/>
          <cell r="DU63"/>
          <cell r="DV63"/>
          <cell r="DW63"/>
          <cell r="DX63"/>
          <cell r="ED63"/>
          <cell r="ES63" t="str">
            <v>785C-APX3260.00.CO.AFRM AXLE HOUSING ASSEMBLY</v>
          </cell>
          <cell r="ET63" t="str">
            <v>785C-APX</v>
          </cell>
          <cell r="EV63" t="str">
            <v>3260.00.CO.AFRM AXLE HOUSING ASSEMBLY</v>
          </cell>
          <cell r="EW63">
            <v>4819.0510000000004</v>
          </cell>
          <cell r="EX63">
            <v>1950</v>
          </cell>
        </row>
        <row r="64">
          <cell r="A64" t="str">
            <v>7201.FR.RM.0 SUSPENSION</v>
          </cell>
          <cell r="B64" t="str">
            <v>YES</v>
          </cell>
          <cell r="M64" t="str">
            <v>5102.RI.CC.0 HOIST CYLINDER</v>
          </cell>
          <cell r="N64"/>
          <cell r="O64"/>
          <cell r="P64"/>
          <cell r="Q64"/>
          <cell r="R64"/>
          <cell r="S64"/>
          <cell r="T64"/>
          <cell r="U64"/>
          <cell r="V64"/>
          <cell r="W64" t="str">
            <v>DT150-10</v>
          </cell>
          <cell r="X64"/>
          <cell r="Y64"/>
          <cell r="Z64"/>
          <cell r="AA64"/>
          <cell r="AB64"/>
          <cell r="AC64"/>
          <cell r="AD64"/>
          <cell r="AE64"/>
          <cell r="AF64"/>
          <cell r="AG64"/>
          <cell r="AH64"/>
          <cell r="AI64"/>
          <cell r="AJ64"/>
          <cell r="AK64"/>
          <cell r="AL64"/>
          <cell r="AM64"/>
          <cell r="AN64"/>
          <cell r="AO64"/>
          <cell r="AP64"/>
          <cell r="AQ64"/>
          <cell r="AR64"/>
          <cell r="AS64"/>
          <cell r="AT64"/>
          <cell r="AU64"/>
          <cell r="AV64"/>
          <cell r="AW64"/>
          <cell r="AX64"/>
          <cell r="AY64"/>
          <cell r="AZ64"/>
          <cell r="BA64"/>
          <cell r="BB64"/>
          <cell r="BC64"/>
          <cell r="BD64"/>
          <cell r="BE64"/>
          <cell r="BF64"/>
          <cell r="BG64"/>
          <cell r="BH64"/>
          <cell r="BI64"/>
          <cell r="BJ64"/>
          <cell r="BK64"/>
          <cell r="BL64"/>
          <cell r="BM64"/>
          <cell r="BN64"/>
          <cell r="BO64"/>
          <cell r="BP64"/>
          <cell r="BQ64"/>
          <cell r="BR64"/>
          <cell r="BS64"/>
          <cell r="BT64"/>
          <cell r="BU64"/>
          <cell r="BV64"/>
          <cell r="BW64"/>
          <cell r="BX64"/>
          <cell r="BY64"/>
          <cell r="BZ64"/>
          <cell r="CA64"/>
          <cell r="CB64"/>
          <cell r="CC64"/>
          <cell r="CD64"/>
          <cell r="CE64"/>
          <cell r="CF64"/>
          <cell r="CG64"/>
          <cell r="CH64"/>
          <cell r="CI64"/>
          <cell r="CJ64"/>
          <cell r="CK64"/>
          <cell r="CL64"/>
          <cell r="CM64"/>
          <cell r="CN64"/>
          <cell r="CO64"/>
          <cell r="CP64"/>
          <cell r="CQ64"/>
          <cell r="CR64"/>
          <cell r="CS64"/>
          <cell r="CT64"/>
          <cell r="CU64"/>
          <cell r="CV64"/>
          <cell r="CW64"/>
          <cell r="CX64"/>
          <cell r="CY64"/>
          <cell r="CZ64"/>
          <cell r="DA64"/>
          <cell r="DB64"/>
          <cell r="DC64"/>
          <cell r="DD64"/>
          <cell r="DE64"/>
          <cell r="DF64"/>
          <cell r="DG64"/>
          <cell r="DH64"/>
          <cell r="DI64"/>
          <cell r="DJ64"/>
          <cell r="DK64"/>
          <cell r="DL64"/>
          <cell r="DM64"/>
          <cell r="DN64"/>
          <cell r="DO64"/>
          <cell r="DP64"/>
          <cell r="DQ64"/>
          <cell r="DR64"/>
          <cell r="DS64"/>
          <cell r="DT64"/>
          <cell r="DU64"/>
          <cell r="DV64"/>
          <cell r="DW64"/>
          <cell r="DX64"/>
          <cell r="ED64" t="str">
            <v>DT150-10</v>
          </cell>
          <cell r="ES64" t="str">
            <v>785C-APX3260.00.GR.0 AXLE HOUSING ASSEMBLY</v>
          </cell>
          <cell r="ET64" t="str">
            <v>785C-APX</v>
          </cell>
          <cell r="EV64" t="str">
            <v>3260.00.GR.0 AXLE HOUSING ASSEMBLY</v>
          </cell>
          <cell r="EW64">
            <v>252.28149999999999</v>
          </cell>
          <cell r="EX64">
            <v>1170</v>
          </cell>
        </row>
        <row r="65">
          <cell r="A65" t="str">
            <v>7201.LF.CC.0 SUSPENSION</v>
          </cell>
          <cell r="B65" t="str">
            <v>YES</v>
          </cell>
          <cell r="M65" t="str">
            <v>7201.FR.RM.0 SUSPENSION</v>
          </cell>
          <cell r="N65"/>
          <cell r="O65"/>
          <cell r="P65"/>
          <cell r="Q65"/>
          <cell r="R65"/>
          <cell r="S65"/>
          <cell r="T65"/>
          <cell r="U65"/>
          <cell r="V65"/>
          <cell r="W65"/>
          <cell r="X65"/>
          <cell r="Y65"/>
          <cell r="Z65"/>
          <cell r="AA65"/>
          <cell r="AB65"/>
          <cell r="AC65"/>
          <cell r="AD65"/>
          <cell r="AE65"/>
          <cell r="AF65"/>
          <cell r="AG65"/>
          <cell r="AH65"/>
          <cell r="AI65"/>
          <cell r="AJ65" t="str">
            <v>DT180-07</v>
          </cell>
          <cell r="AK65"/>
          <cell r="AL65"/>
          <cell r="AM65"/>
          <cell r="AN65"/>
          <cell r="AO65"/>
          <cell r="AP65"/>
          <cell r="AQ65"/>
          <cell r="AR65"/>
          <cell r="AS65"/>
          <cell r="AT65"/>
          <cell r="AU65"/>
          <cell r="AV65"/>
          <cell r="AW65"/>
          <cell r="AX65"/>
          <cell r="AY65"/>
          <cell r="AZ65"/>
          <cell r="BA65"/>
          <cell r="BB65"/>
          <cell r="BC65"/>
          <cell r="BD65"/>
          <cell r="BE65"/>
          <cell r="BF65"/>
          <cell r="BG65"/>
          <cell r="BH65"/>
          <cell r="BI65"/>
          <cell r="BJ65"/>
          <cell r="BK65"/>
          <cell r="BL65"/>
          <cell r="BM65"/>
          <cell r="BN65"/>
          <cell r="BO65"/>
          <cell r="BP65"/>
          <cell r="BQ65"/>
          <cell r="BR65"/>
          <cell r="BS65"/>
          <cell r="BT65"/>
          <cell r="BU65"/>
          <cell r="BV65"/>
          <cell r="BW65"/>
          <cell r="BX65"/>
          <cell r="BY65"/>
          <cell r="BZ65"/>
          <cell r="CA65"/>
          <cell r="CB65"/>
          <cell r="CC65"/>
          <cell r="CD65"/>
          <cell r="CE65"/>
          <cell r="CF65"/>
          <cell r="CG65"/>
          <cell r="CH65"/>
          <cell r="CI65"/>
          <cell r="CJ65"/>
          <cell r="CK65"/>
          <cell r="CL65"/>
          <cell r="CM65"/>
          <cell r="CN65"/>
          <cell r="CO65"/>
          <cell r="CP65"/>
          <cell r="CQ65"/>
          <cell r="CR65"/>
          <cell r="CS65"/>
          <cell r="CT65"/>
          <cell r="CU65"/>
          <cell r="CV65"/>
          <cell r="CW65"/>
          <cell r="CX65"/>
          <cell r="CY65"/>
          <cell r="CZ65"/>
          <cell r="DA65"/>
          <cell r="DB65"/>
          <cell r="DC65"/>
          <cell r="DD65"/>
          <cell r="DE65"/>
          <cell r="DF65"/>
          <cell r="DG65"/>
          <cell r="DH65"/>
          <cell r="DI65"/>
          <cell r="DJ65"/>
          <cell r="DK65"/>
          <cell r="DL65"/>
          <cell r="DM65"/>
          <cell r="DN65"/>
          <cell r="DO65"/>
          <cell r="DP65"/>
          <cell r="DQ65"/>
          <cell r="DR65"/>
          <cell r="DS65"/>
          <cell r="DT65"/>
          <cell r="DU65"/>
          <cell r="DV65"/>
          <cell r="DW65"/>
          <cell r="DX65"/>
          <cell r="ED65" t="str">
            <v>DT180-07</v>
          </cell>
          <cell r="ES65" t="str">
            <v>785C-APX3291.00.CC.0 DRIVE AXLE OIL PUMP</v>
          </cell>
          <cell r="ET65" t="str">
            <v>785C-APX</v>
          </cell>
          <cell r="EV65" t="str">
            <v>3291.00.CC.0 DRIVE AXLE OIL PUMP</v>
          </cell>
          <cell r="EW65">
            <v>1089.53</v>
          </cell>
          <cell r="EX65">
            <v>32.5</v>
          </cell>
        </row>
        <row r="66">
          <cell r="A66" t="str">
            <v>7201.RF.CC.0 SUSPENSION</v>
          </cell>
          <cell r="B66" t="str">
            <v>YES</v>
          </cell>
          <cell r="M66" t="str">
            <v>7201.LF.CC.0 SUSPENSION</v>
          </cell>
          <cell r="N66"/>
          <cell r="O66"/>
          <cell r="P66"/>
          <cell r="Q66"/>
          <cell r="R66"/>
          <cell r="S66"/>
          <cell r="T66"/>
          <cell r="U66"/>
          <cell r="V66"/>
          <cell r="W66"/>
          <cell r="X66"/>
          <cell r="Y66"/>
          <cell r="Z66"/>
          <cell r="AA66"/>
          <cell r="AB66"/>
          <cell r="AC66"/>
          <cell r="AD66"/>
          <cell r="AE66"/>
          <cell r="AF66"/>
          <cell r="AG66"/>
          <cell r="AH66"/>
          <cell r="AI66"/>
          <cell r="AJ66"/>
          <cell r="AK66"/>
          <cell r="AL66"/>
          <cell r="AM66"/>
          <cell r="AN66"/>
          <cell r="AO66"/>
          <cell r="AP66"/>
          <cell r="AQ66"/>
          <cell r="AR66"/>
          <cell r="AS66"/>
          <cell r="AT66"/>
          <cell r="AU66"/>
          <cell r="AV66"/>
          <cell r="AW66"/>
          <cell r="AX66"/>
          <cell r="AY66"/>
          <cell r="AZ66"/>
          <cell r="BA66"/>
          <cell r="BB66"/>
          <cell r="BC66"/>
          <cell r="BD66"/>
          <cell r="BE66"/>
          <cell r="BF66"/>
          <cell r="BG66"/>
          <cell r="BH66"/>
          <cell r="BI66"/>
          <cell r="BJ66"/>
          <cell r="BK66"/>
          <cell r="BL66"/>
          <cell r="BM66"/>
          <cell r="BN66"/>
          <cell r="BO66"/>
          <cell r="BP66"/>
          <cell r="BQ66"/>
          <cell r="BR66"/>
          <cell r="BS66"/>
          <cell r="BT66"/>
          <cell r="BU66"/>
          <cell r="BV66"/>
          <cell r="BW66"/>
          <cell r="BX66"/>
          <cell r="BY66"/>
          <cell r="BZ66"/>
          <cell r="CA66"/>
          <cell r="CB66"/>
          <cell r="CC66"/>
          <cell r="CD66"/>
          <cell r="CE66"/>
          <cell r="CF66"/>
          <cell r="CG66"/>
          <cell r="CH66"/>
          <cell r="CI66"/>
          <cell r="CJ66"/>
          <cell r="CK66"/>
          <cell r="CL66"/>
          <cell r="CM66"/>
          <cell r="CN66"/>
          <cell r="CO66"/>
          <cell r="CP66"/>
          <cell r="CQ66"/>
          <cell r="CR66"/>
          <cell r="CS66"/>
          <cell r="CT66"/>
          <cell r="CU66"/>
          <cell r="CV66"/>
          <cell r="CW66"/>
          <cell r="CX66"/>
          <cell r="CY66"/>
          <cell r="CZ66"/>
          <cell r="DA66"/>
          <cell r="DB66"/>
          <cell r="DC66"/>
          <cell r="DD66"/>
          <cell r="DE66"/>
          <cell r="DF66"/>
          <cell r="DG66"/>
          <cell r="DH66"/>
          <cell r="DI66"/>
          <cell r="DJ66"/>
          <cell r="DK66"/>
          <cell r="DL66"/>
          <cell r="DM66"/>
          <cell r="DN66"/>
          <cell r="DO66"/>
          <cell r="DP66"/>
          <cell r="DQ66"/>
          <cell r="DR66"/>
          <cell r="DS66"/>
          <cell r="DT66"/>
          <cell r="DU66"/>
          <cell r="DV66"/>
          <cell r="DW66"/>
          <cell r="DX66"/>
          <cell r="ED66"/>
          <cell r="ES66" t="str">
            <v>785C-APX4008.LR.CC.1RB FINAL DRIVE, BRAKE AND WHEEL</v>
          </cell>
          <cell r="ET66" t="str">
            <v>785C-APX</v>
          </cell>
          <cell r="EV66" t="str">
            <v>4008.LR.CC.1RB FINAL DRIVE, BRAKE AND WHEEL</v>
          </cell>
          <cell r="EW66">
            <v>41386.339999999997</v>
          </cell>
          <cell r="EX66">
            <v>1560</v>
          </cell>
        </row>
        <row r="67">
          <cell r="A67" t="str">
            <v>7213.LR.CC.0 SUSPENSION</v>
          </cell>
          <cell r="B67" t="str">
            <v>YES</v>
          </cell>
          <cell r="M67" t="str">
            <v>7201.RF.CC.0 SUSPENSION</v>
          </cell>
          <cell r="N67"/>
          <cell r="O67"/>
          <cell r="P67"/>
          <cell r="Q67"/>
          <cell r="R67"/>
          <cell r="S67"/>
          <cell r="T67"/>
          <cell r="U67"/>
          <cell r="V67"/>
          <cell r="W67"/>
          <cell r="X67"/>
          <cell r="Y67"/>
          <cell r="Z67"/>
          <cell r="AA67"/>
          <cell r="AB67"/>
          <cell r="AC67"/>
          <cell r="AD67"/>
          <cell r="AE67"/>
          <cell r="AF67"/>
          <cell r="AG67"/>
          <cell r="AH67"/>
          <cell r="AI67"/>
          <cell r="AJ67"/>
          <cell r="AK67"/>
          <cell r="AL67"/>
          <cell r="AM67"/>
          <cell r="AN67"/>
          <cell r="AO67"/>
          <cell r="AP67"/>
          <cell r="AQ67"/>
          <cell r="AR67"/>
          <cell r="AS67"/>
          <cell r="AT67"/>
          <cell r="AU67"/>
          <cell r="AV67"/>
          <cell r="AW67"/>
          <cell r="AX67"/>
          <cell r="AY67"/>
          <cell r="AZ67"/>
          <cell r="BA67"/>
          <cell r="BB67"/>
          <cell r="BC67"/>
          <cell r="BD67"/>
          <cell r="BE67"/>
          <cell r="BF67"/>
          <cell r="BG67"/>
          <cell r="BH67"/>
          <cell r="BI67"/>
          <cell r="BJ67"/>
          <cell r="BK67"/>
          <cell r="BL67"/>
          <cell r="BM67"/>
          <cell r="BN67"/>
          <cell r="BO67"/>
          <cell r="BP67"/>
          <cell r="BQ67"/>
          <cell r="BR67"/>
          <cell r="BS67"/>
          <cell r="BT67"/>
          <cell r="BU67"/>
          <cell r="BV67"/>
          <cell r="BW67"/>
          <cell r="BX67"/>
          <cell r="BY67"/>
          <cell r="BZ67"/>
          <cell r="CA67"/>
          <cell r="CB67"/>
          <cell r="CC67"/>
          <cell r="CD67"/>
          <cell r="CE67"/>
          <cell r="CF67"/>
          <cell r="CG67"/>
          <cell r="CH67"/>
          <cell r="CI67"/>
          <cell r="CJ67"/>
          <cell r="CK67"/>
          <cell r="CL67"/>
          <cell r="CM67"/>
          <cell r="CN67"/>
          <cell r="CO67"/>
          <cell r="CP67"/>
          <cell r="CQ67"/>
          <cell r="CR67"/>
          <cell r="CS67"/>
          <cell r="CT67"/>
          <cell r="CU67"/>
          <cell r="CV67"/>
          <cell r="CW67"/>
          <cell r="CX67"/>
          <cell r="CY67"/>
          <cell r="CZ67"/>
          <cell r="DA67"/>
          <cell r="DB67"/>
          <cell r="DC67"/>
          <cell r="DD67"/>
          <cell r="DE67"/>
          <cell r="DF67"/>
          <cell r="DG67"/>
          <cell r="DH67"/>
          <cell r="DI67"/>
          <cell r="DJ67"/>
          <cell r="DK67"/>
          <cell r="DL67"/>
          <cell r="DM67"/>
          <cell r="DN67"/>
          <cell r="DO67"/>
          <cell r="DP67"/>
          <cell r="DQ67"/>
          <cell r="DR67"/>
          <cell r="DS67"/>
          <cell r="DT67"/>
          <cell r="DU67"/>
          <cell r="DV67"/>
          <cell r="DW67"/>
          <cell r="DX67"/>
          <cell r="ED67"/>
          <cell r="ES67" t="str">
            <v>785C-APX4008.LR.CC.2RB FINAL DRIVE, BRAKE AND WHEEL</v>
          </cell>
          <cell r="ET67" t="str">
            <v>785C-APX</v>
          </cell>
          <cell r="EV67" t="str">
            <v>4008.LR.CC.2RB FINAL DRIVE, BRAKE AND WHEEL</v>
          </cell>
          <cell r="EW67">
            <v>57167.45</v>
          </cell>
          <cell r="EX67">
            <v>1560</v>
          </cell>
        </row>
        <row r="68">
          <cell r="A68" t="str">
            <v>7213.LR.CC.2RB SUSPENSION</v>
          </cell>
          <cell r="B68" t="str">
            <v>YES</v>
          </cell>
          <cell r="M68" t="str">
            <v>7213.LR.CC.0 SUSPENSION</v>
          </cell>
          <cell r="N68"/>
          <cell r="O68"/>
          <cell r="P68"/>
          <cell r="Q68"/>
          <cell r="R68"/>
          <cell r="S68"/>
          <cell r="T68"/>
          <cell r="U68"/>
          <cell r="V68"/>
          <cell r="W68"/>
          <cell r="X68"/>
          <cell r="Y68"/>
          <cell r="Z68"/>
          <cell r="AA68"/>
          <cell r="AB68"/>
          <cell r="AC68"/>
          <cell r="AD68"/>
          <cell r="AE68"/>
          <cell r="AF68"/>
          <cell r="AG68"/>
          <cell r="AH68"/>
          <cell r="AI68"/>
          <cell r="AJ68"/>
          <cell r="AK68"/>
          <cell r="AL68"/>
          <cell r="AM68"/>
          <cell r="AN68"/>
          <cell r="AO68"/>
          <cell r="AP68"/>
          <cell r="AQ68"/>
          <cell r="AR68"/>
          <cell r="AS68"/>
          <cell r="AT68"/>
          <cell r="AU68"/>
          <cell r="AV68"/>
          <cell r="AW68"/>
          <cell r="AX68"/>
          <cell r="AY68"/>
          <cell r="AZ68"/>
          <cell r="BA68"/>
          <cell r="BB68"/>
          <cell r="BC68"/>
          <cell r="BD68"/>
          <cell r="BE68"/>
          <cell r="BF68"/>
          <cell r="BG68"/>
          <cell r="BH68"/>
          <cell r="BI68"/>
          <cell r="BJ68"/>
          <cell r="BK68"/>
          <cell r="BL68"/>
          <cell r="BM68"/>
          <cell r="BN68"/>
          <cell r="BO68"/>
          <cell r="BP68"/>
          <cell r="BQ68"/>
          <cell r="BR68"/>
          <cell r="BS68"/>
          <cell r="BT68"/>
          <cell r="BU68"/>
          <cell r="BV68"/>
          <cell r="BW68"/>
          <cell r="BX68"/>
          <cell r="BY68"/>
          <cell r="BZ68"/>
          <cell r="CA68"/>
          <cell r="CB68"/>
          <cell r="CC68"/>
          <cell r="CD68"/>
          <cell r="CE68"/>
          <cell r="CF68"/>
          <cell r="CG68"/>
          <cell r="CH68"/>
          <cell r="CI68"/>
          <cell r="CJ68"/>
          <cell r="CK68"/>
          <cell r="CL68"/>
          <cell r="CM68"/>
          <cell r="CN68"/>
          <cell r="CO68"/>
          <cell r="CP68"/>
          <cell r="CQ68"/>
          <cell r="CR68"/>
          <cell r="CS68"/>
          <cell r="CT68"/>
          <cell r="CU68"/>
          <cell r="CV68"/>
          <cell r="CW68"/>
          <cell r="CX68"/>
          <cell r="CY68"/>
          <cell r="CZ68"/>
          <cell r="DA68"/>
          <cell r="DB68"/>
          <cell r="DC68"/>
          <cell r="DD68"/>
          <cell r="DE68"/>
          <cell r="DF68"/>
          <cell r="DG68"/>
          <cell r="DH68"/>
          <cell r="DI68"/>
          <cell r="DJ68"/>
          <cell r="DK68"/>
          <cell r="DL68"/>
          <cell r="DM68"/>
          <cell r="DN68"/>
          <cell r="DO68"/>
          <cell r="DP68"/>
          <cell r="DQ68"/>
          <cell r="DR68"/>
          <cell r="DS68"/>
          <cell r="DT68"/>
          <cell r="DU68"/>
          <cell r="DV68"/>
          <cell r="DW68"/>
          <cell r="DX68"/>
          <cell r="ED68"/>
          <cell r="ES68" t="str">
            <v>785C-APX4008.RR.CC.1RB FINAL DRIVE, BRAKE AND WHEEL</v>
          </cell>
          <cell r="ET68" t="str">
            <v>785C-APX</v>
          </cell>
          <cell r="EV68" t="str">
            <v>4008.RR.CC.1RB FINAL DRIVE, BRAKE AND WHEEL</v>
          </cell>
          <cell r="EW68">
            <v>41386.339999999997</v>
          </cell>
          <cell r="EX68">
            <v>1560</v>
          </cell>
        </row>
        <row r="69">
          <cell r="A69" t="str">
            <v>7213.RE.RM.0 SUSPENSION</v>
          </cell>
          <cell r="B69" t="str">
            <v>YES</v>
          </cell>
          <cell r="M69" t="str">
            <v>7213.LR.CC.2RB SUSPENSION</v>
          </cell>
          <cell r="N69"/>
          <cell r="O69"/>
          <cell r="P69"/>
          <cell r="Q69"/>
          <cell r="R69"/>
          <cell r="S69"/>
          <cell r="T69"/>
          <cell r="U69"/>
          <cell r="V69"/>
          <cell r="W69"/>
          <cell r="X69"/>
          <cell r="Y69"/>
          <cell r="Z69"/>
          <cell r="AA69"/>
          <cell r="AB69"/>
          <cell r="AC69"/>
          <cell r="AD69"/>
          <cell r="AE69"/>
          <cell r="AF69"/>
          <cell r="AG69"/>
          <cell r="AH69"/>
          <cell r="AI69"/>
          <cell r="AJ69"/>
          <cell r="AK69"/>
          <cell r="AL69"/>
          <cell r="AM69"/>
          <cell r="AN69"/>
          <cell r="AO69"/>
          <cell r="AP69"/>
          <cell r="AQ69"/>
          <cell r="AR69"/>
          <cell r="AS69"/>
          <cell r="AT69"/>
          <cell r="AU69"/>
          <cell r="AV69"/>
          <cell r="AW69"/>
          <cell r="AX69"/>
          <cell r="AY69"/>
          <cell r="AZ69"/>
          <cell r="BA69"/>
          <cell r="BB69"/>
          <cell r="BC69"/>
          <cell r="BD69"/>
          <cell r="BE69"/>
          <cell r="BF69"/>
          <cell r="BG69"/>
          <cell r="BH69"/>
          <cell r="BI69"/>
          <cell r="BJ69"/>
          <cell r="BK69"/>
          <cell r="BL69"/>
          <cell r="BM69"/>
          <cell r="BN69"/>
          <cell r="BO69"/>
          <cell r="BP69"/>
          <cell r="BQ69"/>
          <cell r="BR69"/>
          <cell r="BS69"/>
          <cell r="BT69"/>
          <cell r="BU69"/>
          <cell r="BV69"/>
          <cell r="BW69"/>
          <cell r="BX69"/>
          <cell r="BY69"/>
          <cell r="BZ69"/>
          <cell r="CA69"/>
          <cell r="CB69"/>
          <cell r="CC69"/>
          <cell r="CD69"/>
          <cell r="CE69"/>
          <cell r="CF69"/>
          <cell r="CG69"/>
          <cell r="CH69"/>
          <cell r="CI69"/>
          <cell r="CJ69"/>
          <cell r="CK69"/>
          <cell r="CL69"/>
          <cell r="CM69"/>
          <cell r="CN69"/>
          <cell r="CO69"/>
          <cell r="CP69"/>
          <cell r="CQ69"/>
          <cell r="CR69"/>
          <cell r="CS69"/>
          <cell r="CT69"/>
          <cell r="CU69"/>
          <cell r="CV69"/>
          <cell r="CW69"/>
          <cell r="CX69"/>
          <cell r="CY69"/>
          <cell r="CZ69"/>
          <cell r="DA69"/>
          <cell r="DB69"/>
          <cell r="DC69"/>
          <cell r="DD69"/>
          <cell r="DE69"/>
          <cell r="DF69"/>
          <cell r="DG69"/>
          <cell r="DH69"/>
          <cell r="DI69"/>
          <cell r="DJ69"/>
          <cell r="DK69"/>
          <cell r="DL69"/>
          <cell r="DM69"/>
          <cell r="DN69"/>
          <cell r="DO69"/>
          <cell r="DP69"/>
          <cell r="DQ69"/>
          <cell r="DR69"/>
          <cell r="DS69"/>
          <cell r="DT69"/>
          <cell r="DU69"/>
          <cell r="DV69"/>
          <cell r="DW69"/>
          <cell r="DX69"/>
          <cell r="ED69"/>
          <cell r="ES69" t="str">
            <v>785C-APX4008.RR.CC.2RB FINAL DRIVE, BRAKE AND WHEEL</v>
          </cell>
          <cell r="ET69" t="str">
            <v>785C-APX</v>
          </cell>
          <cell r="EV69" t="str">
            <v>4008.RR.CC.2RB FINAL DRIVE, BRAKE AND WHEEL</v>
          </cell>
          <cell r="EW69">
            <v>57167.45</v>
          </cell>
          <cell r="EX69">
            <v>1560</v>
          </cell>
        </row>
        <row r="70">
          <cell r="A70" t="str">
            <v>7213.RR.CC.0 SUSPENSION</v>
          </cell>
          <cell r="B70" t="str">
            <v>YES</v>
          </cell>
          <cell r="M70" t="str">
            <v>7213.RE.RM.0 SUSPENSION</v>
          </cell>
          <cell r="N70"/>
          <cell r="O70"/>
          <cell r="P70"/>
          <cell r="Q70"/>
          <cell r="R70"/>
          <cell r="S70"/>
          <cell r="T70"/>
          <cell r="U70"/>
          <cell r="V70"/>
          <cell r="W70"/>
          <cell r="X70"/>
          <cell r="Y70"/>
          <cell r="Z70"/>
          <cell r="AA70"/>
          <cell r="AB70"/>
          <cell r="AC70"/>
          <cell r="AD70"/>
          <cell r="AE70"/>
          <cell r="AF70"/>
          <cell r="AG70"/>
          <cell r="AH70"/>
          <cell r="AI70"/>
          <cell r="AJ70"/>
          <cell r="AK70"/>
          <cell r="AL70"/>
          <cell r="AM70"/>
          <cell r="AN70"/>
          <cell r="AO70"/>
          <cell r="AP70"/>
          <cell r="AQ70"/>
          <cell r="AR70"/>
          <cell r="AS70"/>
          <cell r="AT70"/>
          <cell r="AU70"/>
          <cell r="AV70"/>
          <cell r="AW70"/>
          <cell r="AX70"/>
          <cell r="AY70"/>
          <cell r="AZ70"/>
          <cell r="BA70"/>
          <cell r="BB70"/>
          <cell r="BC70"/>
          <cell r="BD70"/>
          <cell r="BE70"/>
          <cell r="BF70"/>
          <cell r="BG70"/>
          <cell r="BH70"/>
          <cell r="BI70"/>
          <cell r="BJ70"/>
          <cell r="BK70"/>
          <cell r="BL70"/>
          <cell r="BM70"/>
          <cell r="BN70"/>
          <cell r="BO70"/>
          <cell r="BP70"/>
          <cell r="BQ70"/>
          <cell r="BR70"/>
          <cell r="BS70"/>
          <cell r="BT70"/>
          <cell r="BU70"/>
          <cell r="BV70"/>
          <cell r="BW70"/>
          <cell r="BX70"/>
          <cell r="BY70"/>
          <cell r="BZ70"/>
          <cell r="CA70"/>
          <cell r="CB70"/>
          <cell r="CC70"/>
          <cell r="CD70"/>
          <cell r="CE70"/>
          <cell r="CF70"/>
          <cell r="CG70"/>
          <cell r="CH70"/>
          <cell r="CI70"/>
          <cell r="CJ70"/>
          <cell r="CK70"/>
          <cell r="CL70"/>
          <cell r="CM70"/>
          <cell r="CN70"/>
          <cell r="CO70"/>
          <cell r="CP70"/>
          <cell r="CQ70"/>
          <cell r="CR70"/>
          <cell r="CS70"/>
          <cell r="CT70"/>
          <cell r="CU70"/>
          <cell r="CV70"/>
          <cell r="CW70"/>
          <cell r="CX70"/>
          <cell r="CY70"/>
          <cell r="CZ70"/>
          <cell r="DA70"/>
          <cell r="DB70"/>
          <cell r="DC70"/>
          <cell r="DD70"/>
          <cell r="DE70"/>
          <cell r="DF70"/>
          <cell r="DG70"/>
          <cell r="DH70"/>
          <cell r="DI70"/>
          <cell r="DJ70"/>
          <cell r="DK70"/>
          <cell r="DL70"/>
          <cell r="DM70"/>
          <cell r="DN70"/>
          <cell r="DO70"/>
          <cell r="DP70"/>
          <cell r="DQ70"/>
          <cell r="DR70"/>
          <cell r="DS70"/>
          <cell r="DT70"/>
          <cell r="DU70"/>
          <cell r="DV70"/>
          <cell r="DW70"/>
          <cell r="DX70"/>
          <cell r="ED70"/>
          <cell r="ES70" t="str">
            <v>785C-APX4215.LF.CO.0 WHEEL BEARING - FR</v>
          </cell>
          <cell r="ET70" t="str">
            <v>785C-APX</v>
          </cell>
          <cell r="EV70" t="str">
            <v>4215.LF.CO.0 WHEEL BEARING - FR</v>
          </cell>
          <cell r="EW70">
            <v>6911.9948770083902</v>
          </cell>
          <cell r="EX70">
            <v>1690</v>
          </cell>
        </row>
        <row r="71">
          <cell r="A71" t="str">
            <v>7213.RR.CC.2RB SUSPENSION</v>
          </cell>
          <cell r="B71" t="str">
            <v>YES</v>
          </cell>
          <cell r="M71" t="str">
            <v>7213.RR.CC.0 SUSPENSION</v>
          </cell>
          <cell r="N71"/>
          <cell r="O71"/>
          <cell r="P71"/>
          <cell r="Q71"/>
          <cell r="R71"/>
          <cell r="S71"/>
          <cell r="T71"/>
          <cell r="U71"/>
          <cell r="V71"/>
          <cell r="W71"/>
          <cell r="X71"/>
          <cell r="Y71"/>
          <cell r="Z71"/>
          <cell r="AA71"/>
          <cell r="AB71"/>
          <cell r="AC71"/>
          <cell r="AD71"/>
          <cell r="AE71"/>
          <cell r="AF71"/>
          <cell r="AG71"/>
          <cell r="AH71"/>
          <cell r="AI71"/>
          <cell r="AJ71" t="str">
            <v>DT180-07</v>
          </cell>
          <cell r="AK71"/>
          <cell r="AL71"/>
          <cell r="AM71"/>
          <cell r="AN71"/>
          <cell r="AO71"/>
          <cell r="AP71"/>
          <cell r="AQ71"/>
          <cell r="AR71"/>
          <cell r="AS71"/>
          <cell r="AT71"/>
          <cell r="AU71"/>
          <cell r="AV71"/>
          <cell r="AW71"/>
          <cell r="AX71"/>
          <cell r="AY71"/>
          <cell r="AZ71"/>
          <cell r="BA71"/>
          <cell r="BB71"/>
          <cell r="BC71"/>
          <cell r="BD71"/>
          <cell r="BE71"/>
          <cell r="BF71"/>
          <cell r="BG71"/>
          <cell r="BH71"/>
          <cell r="BI71"/>
          <cell r="BJ71"/>
          <cell r="BK71"/>
          <cell r="BL71"/>
          <cell r="BM71"/>
          <cell r="BN71"/>
          <cell r="BO71"/>
          <cell r="BP71"/>
          <cell r="BQ71"/>
          <cell r="BR71"/>
          <cell r="BS71"/>
          <cell r="BT71"/>
          <cell r="BU71"/>
          <cell r="BV71"/>
          <cell r="BW71"/>
          <cell r="BX71"/>
          <cell r="BY71"/>
          <cell r="BZ71"/>
          <cell r="CA71"/>
          <cell r="CB71"/>
          <cell r="CC71"/>
          <cell r="CD71"/>
          <cell r="CE71"/>
          <cell r="CF71"/>
          <cell r="CG71"/>
          <cell r="CH71"/>
          <cell r="CI71"/>
          <cell r="CJ71"/>
          <cell r="CK71"/>
          <cell r="CL71"/>
          <cell r="CM71"/>
          <cell r="CN71"/>
          <cell r="CO71"/>
          <cell r="CP71"/>
          <cell r="CQ71"/>
          <cell r="CR71"/>
          <cell r="CS71"/>
          <cell r="CT71"/>
          <cell r="CU71"/>
          <cell r="CV71"/>
          <cell r="CW71"/>
          <cell r="CX71"/>
          <cell r="CY71"/>
          <cell r="CZ71"/>
          <cell r="DA71"/>
          <cell r="DB71"/>
          <cell r="DC71"/>
          <cell r="DD71"/>
          <cell r="DE71"/>
          <cell r="DF71"/>
          <cell r="DG71"/>
          <cell r="DH71"/>
          <cell r="DI71"/>
          <cell r="DJ71"/>
          <cell r="DK71"/>
          <cell r="DL71"/>
          <cell r="DM71"/>
          <cell r="DN71"/>
          <cell r="DO71"/>
          <cell r="DP71"/>
          <cell r="DQ71"/>
          <cell r="DR71"/>
          <cell r="DS71"/>
          <cell r="DT71"/>
          <cell r="DU71"/>
          <cell r="DV71"/>
          <cell r="DW71"/>
          <cell r="DX71"/>
          <cell r="ED71" t="str">
            <v>DT180-07</v>
          </cell>
          <cell r="ES71" t="str">
            <v>785C-APX4215.RF.CO.0 WHEEL BEARING - FR</v>
          </cell>
          <cell r="ET71" t="str">
            <v>785C-APX</v>
          </cell>
          <cell r="EV71" t="str">
            <v>4215.RF.CO.0 WHEEL BEARING - FR</v>
          </cell>
          <cell r="EW71">
            <v>7434.5274444312199</v>
          </cell>
          <cell r="EX71">
            <v>1820</v>
          </cell>
        </row>
        <row r="72">
          <cell r="A72" t="str">
            <v>7320.00.CO.0 AIR CONDITIONER</v>
          </cell>
          <cell r="B72" t="str">
            <v>YES</v>
          </cell>
          <cell r="M72" t="str">
            <v>7213.RR.CC.2RB SUSPENSION</v>
          </cell>
          <cell r="N72"/>
          <cell r="O72"/>
          <cell r="P72"/>
          <cell r="Q72"/>
          <cell r="R72"/>
          <cell r="S72"/>
          <cell r="T72"/>
          <cell r="U72"/>
          <cell r="V72"/>
          <cell r="W72"/>
          <cell r="X72"/>
          <cell r="Y72"/>
          <cell r="Z72"/>
          <cell r="AA72"/>
          <cell r="AB72"/>
          <cell r="AC72"/>
          <cell r="AD72"/>
          <cell r="AE72"/>
          <cell r="AF72"/>
          <cell r="AG72"/>
          <cell r="AH72"/>
          <cell r="AI72"/>
          <cell r="AJ72"/>
          <cell r="AK72"/>
          <cell r="AL72"/>
          <cell r="AM72"/>
          <cell r="AN72"/>
          <cell r="AO72"/>
          <cell r="AP72"/>
          <cell r="AQ72"/>
          <cell r="AR72"/>
          <cell r="AS72"/>
          <cell r="AT72"/>
          <cell r="AU72"/>
          <cell r="AV72"/>
          <cell r="AW72"/>
          <cell r="AX72"/>
          <cell r="AY72"/>
          <cell r="AZ72"/>
          <cell r="BA72"/>
          <cell r="BB72"/>
          <cell r="BC72"/>
          <cell r="BD72"/>
          <cell r="BE72"/>
          <cell r="BF72"/>
          <cell r="BG72"/>
          <cell r="BH72"/>
          <cell r="BI72"/>
          <cell r="BJ72"/>
          <cell r="BK72"/>
          <cell r="BL72"/>
          <cell r="BM72"/>
          <cell r="BN72"/>
          <cell r="BO72"/>
          <cell r="BP72"/>
          <cell r="BQ72"/>
          <cell r="BR72"/>
          <cell r="BS72"/>
          <cell r="BT72"/>
          <cell r="BU72"/>
          <cell r="BV72"/>
          <cell r="BW72"/>
          <cell r="BX72"/>
          <cell r="BY72"/>
          <cell r="BZ72"/>
          <cell r="CA72"/>
          <cell r="CB72"/>
          <cell r="CC72"/>
          <cell r="CD72"/>
          <cell r="CE72"/>
          <cell r="CF72"/>
          <cell r="CG72"/>
          <cell r="CH72"/>
          <cell r="CI72"/>
          <cell r="CJ72"/>
          <cell r="CK72"/>
          <cell r="CL72"/>
          <cell r="CM72"/>
          <cell r="CN72"/>
          <cell r="CO72"/>
          <cell r="CP72"/>
          <cell r="CQ72"/>
          <cell r="CR72"/>
          <cell r="CS72"/>
          <cell r="CT72"/>
          <cell r="CU72"/>
          <cell r="CV72"/>
          <cell r="CW72"/>
          <cell r="CX72"/>
          <cell r="CY72"/>
          <cell r="CZ72"/>
          <cell r="DA72"/>
          <cell r="DB72"/>
          <cell r="DC72"/>
          <cell r="DD72"/>
          <cell r="DE72"/>
          <cell r="DF72"/>
          <cell r="DG72"/>
          <cell r="DH72"/>
          <cell r="DI72"/>
          <cell r="DJ72"/>
          <cell r="DK72"/>
          <cell r="DL72"/>
          <cell r="DM72"/>
          <cell r="DN72"/>
          <cell r="DO72"/>
          <cell r="DP72"/>
          <cell r="DQ72"/>
          <cell r="DR72"/>
          <cell r="DS72"/>
          <cell r="DT72"/>
          <cell r="DU72"/>
          <cell r="DV72"/>
          <cell r="DW72"/>
          <cell r="DX72"/>
          <cell r="ED72"/>
          <cell r="ES72" t="str">
            <v>785C-APX4250.00.GR.0 BRAKING SYSTEM</v>
          </cell>
          <cell r="ET72" t="str">
            <v>785C-APX</v>
          </cell>
          <cell r="EV72" t="str">
            <v>4250.00.GR.0 BRAKING SYSTEM</v>
          </cell>
          <cell r="EW72">
            <v>0</v>
          </cell>
          <cell r="EX72">
            <v>780</v>
          </cell>
        </row>
        <row r="73">
          <cell r="A73" t="str">
            <v>7320.00.SM.0 AIR CONDITIONER</v>
          </cell>
          <cell r="B73" t="str">
            <v>YES</v>
          </cell>
          <cell r="M73" t="str">
            <v>7320.00.CO.0 AIR CONDITIONER</v>
          </cell>
          <cell r="N73"/>
          <cell r="O73"/>
          <cell r="P73"/>
          <cell r="Q73"/>
          <cell r="R73"/>
          <cell r="S73"/>
          <cell r="T73"/>
          <cell r="U73"/>
          <cell r="V73"/>
          <cell r="W73" t="str">
            <v>DT150-10</v>
          </cell>
          <cell r="X73"/>
          <cell r="Y73"/>
          <cell r="Z73"/>
          <cell r="AA73"/>
          <cell r="AB73"/>
          <cell r="AC73"/>
          <cell r="AD73"/>
          <cell r="AE73"/>
          <cell r="AF73"/>
          <cell r="AG73"/>
          <cell r="AH73"/>
          <cell r="AI73"/>
          <cell r="AJ73"/>
          <cell r="AK73"/>
          <cell r="AL73"/>
          <cell r="AM73"/>
          <cell r="AN73"/>
          <cell r="AO73"/>
          <cell r="AP73"/>
          <cell r="AQ73"/>
          <cell r="AR73"/>
          <cell r="AS73"/>
          <cell r="AT73"/>
          <cell r="AU73"/>
          <cell r="AV73"/>
          <cell r="AW73"/>
          <cell r="AX73"/>
          <cell r="AY73"/>
          <cell r="AZ73"/>
          <cell r="BA73"/>
          <cell r="BB73"/>
          <cell r="BC73"/>
          <cell r="BD73"/>
          <cell r="BE73"/>
          <cell r="BF73"/>
          <cell r="BG73"/>
          <cell r="BH73"/>
          <cell r="BI73"/>
          <cell r="BJ73"/>
          <cell r="BK73"/>
          <cell r="BL73"/>
          <cell r="BM73"/>
          <cell r="BN73"/>
          <cell r="BO73"/>
          <cell r="BP73"/>
          <cell r="BQ73"/>
          <cell r="BR73"/>
          <cell r="BS73"/>
          <cell r="BT73"/>
          <cell r="BU73"/>
          <cell r="BV73"/>
          <cell r="BW73"/>
          <cell r="BX73"/>
          <cell r="BY73"/>
          <cell r="BZ73"/>
          <cell r="CA73"/>
          <cell r="CB73"/>
          <cell r="CC73"/>
          <cell r="CD73"/>
          <cell r="CE73"/>
          <cell r="CF73"/>
          <cell r="CG73"/>
          <cell r="CH73"/>
          <cell r="CI73"/>
          <cell r="CJ73"/>
          <cell r="CK73"/>
          <cell r="CL73"/>
          <cell r="CM73"/>
          <cell r="CN73"/>
          <cell r="CO73"/>
          <cell r="CP73"/>
          <cell r="CQ73"/>
          <cell r="CR73"/>
          <cell r="CS73"/>
          <cell r="CT73"/>
          <cell r="CU73"/>
          <cell r="CV73"/>
          <cell r="CW73"/>
          <cell r="CX73"/>
          <cell r="CY73"/>
          <cell r="CZ73"/>
          <cell r="DA73"/>
          <cell r="DB73"/>
          <cell r="DC73"/>
          <cell r="DD73"/>
          <cell r="DE73"/>
          <cell r="DF73"/>
          <cell r="DG73"/>
          <cell r="DH73"/>
          <cell r="DI73"/>
          <cell r="DJ73"/>
          <cell r="DK73"/>
          <cell r="DL73"/>
          <cell r="DM73"/>
          <cell r="DN73"/>
          <cell r="DO73"/>
          <cell r="DP73"/>
          <cell r="DQ73"/>
          <cell r="DR73"/>
          <cell r="DS73"/>
          <cell r="DT73"/>
          <cell r="DU73"/>
          <cell r="DV73"/>
          <cell r="DW73"/>
          <cell r="DX73"/>
          <cell r="ED73" t="str">
            <v>DT150-10</v>
          </cell>
          <cell r="ES73" t="str">
            <v>785C-APX4251.LF.CC.0 BRAKE GRP</v>
          </cell>
          <cell r="ET73" t="str">
            <v>785C-APX</v>
          </cell>
          <cell r="EV73" t="str">
            <v>4251.LF.CC.0 BRAKE GRP</v>
          </cell>
          <cell r="EW73">
            <v>5135.8397962481104</v>
          </cell>
          <cell r="EX73">
            <v>2470</v>
          </cell>
        </row>
        <row r="74">
          <cell r="A74" t="str">
            <v>7342.KC.CC.0 CAB AIR FILTER</v>
          </cell>
          <cell r="B74" t="str">
            <v>YES</v>
          </cell>
          <cell r="M74" t="str">
            <v>7320.00.SM.0 AIR CONDITIONER</v>
          </cell>
          <cell r="N74"/>
          <cell r="O74"/>
          <cell r="P74"/>
          <cell r="Q74"/>
          <cell r="R74"/>
          <cell r="S74"/>
          <cell r="T74"/>
          <cell r="U74"/>
          <cell r="V74"/>
          <cell r="W74"/>
          <cell r="X74"/>
          <cell r="Y74"/>
          <cell r="Z74"/>
          <cell r="AA74"/>
          <cell r="AB74"/>
          <cell r="AC74"/>
          <cell r="AD74"/>
          <cell r="AE74"/>
          <cell r="AF74"/>
          <cell r="AG74"/>
          <cell r="AH74"/>
          <cell r="AI74"/>
          <cell r="AJ74"/>
          <cell r="AK74"/>
          <cell r="AL74"/>
          <cell r="AM74"/>
          <cell r="AN74"/>
          <cell r="AO74"/>
          <cell r="AP74"/>
          <cell r="AQ74"/>
          <cell r="AR74"/>
          <cell r="AS74"/>
          <cell r="AT74"/>
          <cell r="AU74"/>
          <cell r="AV74"/>
          <cell r="AW74"/>
          <cell r="AX74"/>
          <cell r="AY74"/>
          <cell r="AZ74"/>
          <cell r="BA74"/>
          <cell r="BB74"/>
          <cell r="BC74"/>
          <cell r="BD74"/>
          <cell r="BE74"/>
          <cell r="BF74"/>
          <cell r="BG74"/>
          <cell r="BH74"/>
          <cell r="BI74"/>
          <cell r="BJ74"/>
          <cell r="BK74"/>
          <cell r="BL74"/>
          <cell r="BM74"/>
          <cell r="BN74"/>
          <cell r="BO74"/>
          <cell r="BP74"/>
          <cell r="BQ74"/>
          <cell r="BR74"/>
          <cell r="BS74"/>
          <cell r="BT74"/>
          <cell r="BU74"/>
          <cell r="BV74"/>
          <cell r="BW74"/>
          <cell r="BX74"/>
          <cell r="BY74"/>
          <cell r="BZ74"/>
          <cell r="CA74"/>
          <cell r="CB74"/>
          <cell r="CC74"/>
          <cell r="CD74"/>
          <cell r="CE74"/>
          <cell r="CF74"/>
          <cell r="CG74"/>
          <cell r="CH74"/>
          <cell r="CI74"/>
          <cell r="CJ74"/>
          <cell r="CK74"/>
          <cell r="CL74"/>
          <cell r="CM74"/>
          <cell r="CN74"/>
          <cell r="CO74"/>
          <cell r="CP74"/>
          <cell r="CQ74"/>
          <cell r="CR74"/>
          <cell r="CS74"/>
          <cell r="CT74"/>
          <cell r="CU74"/>
          <cell r="CV74"/>
          <cell r="CW74"/>
          <cell r="CX74"/>
          <cell r="CY74"/>
          <cell r="CZ74"/>
          <cell r="DA74"/>
          <cell r="DB74"/>
          <cell r="DC74"/>
          <cell r="DD74"/>
          <cell r="DE74"/>
          <cell r="DF74"/>
          <cell r="DG74"/>
          <cell r="DH74"/>
          <cell r="DI74"/>
          <cell r="DJ74"/>
          <cell r="DK74"/>
          <cell r="DL74"/>
          <cell r="DM74"/>
          <cell r="DN74"/>
          <cell r="DO74"/>
          <cell r="DP74"/>
          <cell r="DQ74"/>
          <cell r="DR74"/>
          <cell r="DS74"/>
          <cell r="DT74"/>
          <cell r="DU74"/>
          <cell r="DV74"/>
          <cell r="DW74"/>
          <cell r="DX74"/>
          <cell r="ED74"/>
          <cell r="ES74" t="str">
            <v>785C-APX4251.RF.CC.0 BRAKE GRP</v>
          </cell>
          <cell r="ET74" t="str">
            <v>785C-APX</v>
          </cell>
          <cell r="EV74" t="str">
            <v>4251.RF.CC.0 BRAKE GRP</v>
          </cell>
          <cell r="EW74">
            <v>5135.8397962481104</v>
          </cell>
          <cell r="EX74">
            <v>2470</v>
          </cell>
        </row>
        <row r="75">
          <cell r="A75" t="str">
            <v>7342.KF.CC.0 CAB AIR FILTER</v>
          </cell>
          <cell r="B75" t="str">
            <v>YES</v>
          </cell>
          <cell r="M75" t="str">
            <v>7342.KC.CC.0 CAB AIR FILTER</v>
          </cell>
          <cell r="N75"/>
          <cell r="O75"/>
          <cell r="P75"/>
          <cell r="Q75"/>
          <cell r="R75"/>
          <cell r="S75"/>
          <cell r="T75"/>
          <cell r="U75"/>
          <cell r="V75"/>
          <cell r="W75"/>
          <cell r="X75"/>
          <cell r="Y75"/>
          <cell r="Z75"/>
          <cell r="AA75"/>
          <cell r="AB75"/>
          <cell r="AC75"/>
          <cell r="AD75"/>
          <cell r="AE75"/>
          <cell r="AF75"/>
          <cell r="AG75"/>
          <cell r="AH75"/>
          <cell r="AI75"/>
          <cell r="AJ75"/>
          <cell r="AK75" t="str">
            <v>DT180-08</v>
          </cell>
          <cell r="AL75"/>
          <cell r="AM75"/>
          <cell r="AN75"/>
          <cell r="AO75"/>
          <cell r="AP75"/>
          <cell r="AQ75"/>
          <cell r="AR75"/>
          <cell r="AS75"/>
          <cell r="AT75"/>
          <cell r="AU75"/>
          <cell r="AV75"/>
          <cell r="AW75"/>
          <cell r="AX75"/>
          <cell r="AY75"/>
          <cell r="AZ75"/>
          <cell r="BA75"/>
          <cell r="BB75"/>
          <cell r="BC75"/>
          <cell r="BD75"/>
          <cell r="BE75"/>
          <cell r="BF75"/>
          <cell r="BG75"/>
          <cell r="BH75"/>
          <cell r="BI75"/>
          <cell r="BJ75"/>
          <cell r="BK75"/>
          <cell r="BL75"/>
          <cell r="BM75"/>
          <cell r="BN75"/>
          <cell r="BO75"/>
          <cell r="BP75"/>
          <cell r="BQ75"/>
          <cell r="BR75"/>
          <cell r="BS75"/>
          <cell r="BT75"/>
          <cell r="BU75"/>
          <cell r="BV75"/>
          <cell r="BW75"/>
          <cell r="BX75"/>
          <cell r="BY75"/>
          <cell r="BZ75"/>
          <cell r="CA75"/>
          <cell r="CB75"/>
          <cell r="CC75"/>
          <cell r="CD75"/>
          <cell r="CE75"/>
          <cell r="CF75"/>
          <cell r="CG75"/>
          <cell r="CH75"/>
          <cell r="CI75"/>
          <cell r="CJ75"/>
          <cell r="CK75"/>
          <cell r="CL75"/>
          <cell r="CM75"/>
          <cell r="CN75"/>
          <cell r="CO75"/>
          <cell r="CP75"/>
          <cell r="CQ75"/>
          <cell r="CR75"/>
          <cell r="CS75"/>
          <cell r="CT75"/>
          <cell r="CU75"/>
          <cell r="CV75"/>
          <cell r="CW75"/>
          <cell r="CX75"/>
          <cell r="CY75"/>
          <cell r="CZ75"/>
          <cell r="DA75"/>
          <cell r="DB75"/>
          <cell r="DC75"/>
          <cell r="DD75"/>
          <cell r="DE75"/>
          <cell r="DF75"/>
          <cell r="DG75"/>
          <cell r="DH75"/>
          <cell r="DI75"/>
          <cell r="DJ75"/>
          <cell r="DK75"/>
          <cell r="DL75"/>
          <cell r="DM75"/>
          <cell r="DN75"/>
          <cell r="DO75"/>
          <cell r="DP75"/>
          <cell r="DQ75"/>
          <cell r="DR75"/>
          <cell r="DS75"/>
          <cell r="DT75"/>
          <cell r="DU75"/>
          <cell r="DV75"/>
          <cell r="DW75"/>
          <cell r="DX75"/>
          <cell r="ED75" t="str">
            <v>DT180-08</v>
          </cell>
          <cell r="ES75" t="str">
            <v>785C-APX4257.FR.GR.0 BRAKE LINES</v>
          </cell>
          <cell r="ET75" t="str">
            <v>785C-APX</v>
          </cell>
          <cell r="EV75" t="str">
            <v>4257.FR.GR.0 BRAKE LINES</v>
          </cell>
          <cell r="EW75">
            <v>811.50250000000005</v>
          </cell>
          <cell r="EX75">
            <v>910</v>
          </cell>
        </row>
        <row r="76">
          <cell r="A76" t="str">
            <v>7524.00.RM.0 250 SVC HOUR MAINTENANCE</v>
          </cell>
          <cell r="B76" t="str">
            <v>YES</v>
          </cell>
          <cell r="M76" t="str">
            <v>7342.KF.CC.0 CAB AIR FILTER</v>
          </cell>
          <cell r="N76"/>
          <cell r="O76"/>
          <cell r="P76"/>
          <cell r="Q76"/>
          <cell r="R76"/>
          <cell r="S76"/>
          <cell r="T76"/>
          <cell r="U76"/>
          <cell r="V76"/>
          <cell r="W76"/>
          <cell r="X76"/>
          <cell r="Y76"/>
          <cell r="Z76"/>
          <cell r="AA76"/>
          <cell r="AB76"/>
          <cell r="AC76"/>
          <cell r="AD76"/>
          <cell r="AE76"/>
          <cell r="AF76"/>
          <cell r="AG76"/>
          <cell r="AH76"/>
          <cell r="AI76"/>
          <cell r="AJ76"/>
          <cell r="AK76" t="str">
            <v>DT180-08</v>
          </cell>
          <cell r="AL76"/>
          <cell r="AM76"/>
          <cell r="AN76"/>
          <cell r="AO76"/>
          <cell r="AP76"/>
          <cell r="AQ76"/>
          <cell r="AR76"/>
          <cell r="AS76"/>
          <cell r="AT76"/>
          <cell r="AU76"/>
          <cell r="AV76"/>
          <cell r="AW76"/>
          <cell r="AX76"/>
          <cell r="AY76"/>
          <cell r="AZ76"/>
          <cell r="BA76"/>
          <cell r="BB76"/>
          <cell r="BC76"/>
          <cell r="BD76"/>
          <cell r="BE76"/>
          <cell r="BF76"/>
          <cell r="BG76"/>
          <cell r="BH76"/>
          <cell r="BI76"/>
          <cell r="BJ76"/>
          <cell r="BK76"/>
          <cell r="BL76"/>
          <cell r="BM76"/>
          <cell r="BN76"/>
          <cell r="BO76"/>
          <cell r="BP76"/>
          <cell r="BQ76"/>
          <cell r="BR76"/>
          <cell r="BS76"/>
          <cell r="BT76"/>
          <cell r="BU76"/>
          <cell r="BV76"/>
          <cell r="BW76"/>
          <cell r="BX76"/>
          <cell r="BY76"/>
          <cell r="BZ76"/>
          <cell r="CA76"/>
          <cell r="CB76"/>
          <cell r="CC76"/>
          <cell r="CD76"/>
          <cell r="CE76"/>
          <cell r="CF76"/>
          <cell r="CG76"/>
          <cell r="CH76"/>
          <cell r="CI76"/>
          <cell r="CJ76"/>
          <cell r="CK76"/>
          <cell r="CL76"/>
          <cell r="CM76"/>
          <cell r="CN76"/>
          <cell r="CO76"/>
          <cell r="CP76"/>
          <cell r="CQ76"/>
          <cell r="CR76"/>
          <cell r="CS76"/>
          <cell r="CT76"/>
          <cell r="CU76"/>
          <cell r="CV76"/>
          <cell r="CW76"/>
          <cell r="CX76"/>
          <cell r="CY76"/>
          <cell r="CZ76"/>
          <cell r="DA76"/>
          <cell r="DB76"/>
          <cell r="DC76"/>
          <cell r="DD76"/>
          <cell r="DE76"/>
          <cell r="DF76"/>
          <cell r="DG76"/>
          <cell r="DH76"/>
          <cell r="DI76"/>
          <cell r="DJ76"/>
          <cell r="DK76"/>
          <cell r="DL76"/>
          <cell r="DM76"/>
          <cell r="DN76"/>
          <cell r="DO76"/>
          <cell r="DP76"/>
          <cell r="DQ76"/>
          <cell r="DR76"/>
          <cell r="DS76"/>
          <cell r="DT76"/>
          <cell r="DU76"/>
          <cell r="DV76"/>
          <cell r="DW76"/>
          <cell r="DX76"/>
          <cell r="ED76" t="str">
            <v>DT180-08</v>
          </cell>
          <cell r="ES76" t="str">
            <v>785C-APX4257.RE.GR.0 BRAKE LINES</v>
          </cell>
          <cell r="ET76" t="str">
            <v>785C-APX</v>
          </cell>
          <cell r="EV76" t="str">
            <v>4257.RE.GR.0 BRAKE LINES</v>
          </cell>
          <cell r="EW76">
            <v>977.85749999999996</v>
          </cell>
          <cell r="EX76">
            <v>910</v>
          </cell>
        </row>
        <row r="77">
          <cell r="A77" t="str">
            <v>7525.00.PM.0 500 SVC HOUR MAINTENANCE</v>
          </cell>
          <cell r="B77" t="str">
            <v>YES</v>
          </cell>
          <cell r="M77" t="str">
            <v>7524.00.RM.0 250 SVC HOUR MAINTENANCE</v>
          </cell>
          <cell r="N77" t="str">
            <v>DT150-01</v>
          </cell>
          <cell r="O77"/>
          <cell r="P77"/>
          <cell r="Q77"/>
          <cell r="R77"/>
          <cell r="S77" t="str">
            <v>DT150-06</v>
          </cell>
          <cell r="T77"/>
          <cell r="U77"/>
          <cell r="V77"/>
          <cell r="W77"/>
          <cell r="X77"/>
          <cell r="Y77"/>
          <cell r="Z77" t="str">
            <v>DT150-13</v>
          </cell>
          <cell r="AA77"/>
          <cell r="AB77"/>
          <cell r="AC77"/>
          <cell r="AD77"/>
          <cell r="AE77"/>
          <cell r="AF77"/>
          <cell r="AG77" t="str">
            <v>DT180-04</v>
          </cell>
          <cell r="AH77"/>
          <cell r="AI77"/>
          <cell r="AJ77" t="str">
            <v>DT180-07</v>
          </cell>
          <cell r="AK77"/>
          <cell r="AL77"/>
          <cell r="AM77"/>
          <cell r="AN77"/>
          <cell r="AO77"/>
          <cell r="AP77"/>
          <cell r="AQ77"/>
          <cell r="AR77"/>
          <cell r="AS77"/>
          <cell r="AT77"/>
          <cell r="AU77"/>
          <cell r="AV77"/>
          <cell r="AW77"/>
          <cell r="AX77"/>
          <cell r="AY77"/>
          <cell r="AZ77"/>
          <cell r="BA77"/>
          <cell r="BB77"/>
          <cell r="BC77"/>
          <cell r="BD77"/>
          <cell r="BE77"/>
          <cell r="BF77"/>
          <cell r="BG77"/>
          <cell r="BH77"/>
          <cell r="BI77"/>
          <cell r="BJ77"/>
          <cell r="BK77"/>
          <cell r="BL77"/>
          <cell r="BM77"/>
          <cell r="BN77"/>
          <cell r="BO77"/>
          <cell r="BP77"/>
          <cell r="BQ77"/>
          <cell r="BR77"/>
          <cell r="BS77"/>
          <cell r="BT77"/>
          <cell r="BU77"/>
          <cell r="BV77"/>
          <cell r="BW77"/>
          <cell r="BX77"/>
          <cell r="BY77"/>
          <cell r="BZ77"/>
          <cell r="CA77"/>
          <cell r="CB77"/>
          <cell r="CC77"/>
          <cell r="CD77"/>
          <cell r="CE77"/>
          <cell r="CF77"/>
          <cell r="CG77"/>
          <cell r="CH77"/>
          <cell r="CI77"/>
          <cell r="CJ77"/>
          <cell r="CK77"/>
          <cell r="CL77"/>
          <cell r="CM77"/>
          <cell r="CN77"/>
          <cell r="CO77"/>
          <cell r="CP77"/>
          <cell r="CQ77"/>
          <cell r="CR77"/>
          <cell r="CS77"/>
          <cell r="CT77"/>
          <cell r="CU77"/>
          <cell r="CV77"/>
          <cell r="CW77"/>
          <cell r="CX77"/>
          <cell r="CY77"/>
          <cell r="CZ77"/>
          <cell r="DA77"/>
          <cell r="DB77"/>
          <cell r="DC77"/>
          <cell r="DD77"/>
          <cell r="DE77"/>
          <cell r="DF77"/>
          <cell r="DG77"/>
          <cell r="DH77"/>
          <cell r="DI77"/>
          <cell r="DJ77"/>
          <cell r="DK77"/>
          <cell r="DL77"/>
          <cell r="DM77"/>
          <cell r="DN77"/>
          <cell r="DO77"/>
          <cell r="DP77"/>
          <cell r="DQ77"/>
          <cell r="DR77"/>
          <cell r="DS77"/>
          <cell r="DT77"/>
          <cell r="DU77"/>
          <cell r="DV77"/>
          <cell r="DW77"/>
          <cell r="DX77"/>
          <cell r="ED77" t="str">
            <v>DT150-01DT150-06DT150-13DT180-04DT180-07</v>
          </cell>
          <cell r="ES77" t="str">
            <v>785C-APX4261.FR.CC.0 BRAKE/SLACK ADJUSTER</v>
          </cell>
          <cell r="ET77" t="str">
            <v>785C-APX</v>
          </cell>
          <cell r="EV77" t="str">
            <v>4261.FR.CC.0 BRAKE/SLACK ADJUSTER</v>
          </cell>
          <cell r="EW77">
            <v>364.91399999999999</v>
          </cell>
          <cell r="EX77">
            <v>195</v>
          </cell>
        </row>
        <row r="78">
          <cell r="A78" t="str">
            <v>7526.00.PM.0 1000 SVC HOUR MAINTENANCE</v>
          </cell>
          <cell r="B78" t="str">
            <v>YES</v>
          </cell>
          <cell r="M78" t="str">
            <v>7525.00.PM.0 500 SVC HOUR MAINTENANCE</v>
          </cell>
          <cell r="N78"/>
          <cell r="O78"/>
          <cell r="P78"/>
          <cell r="Q78"/>
          <cell r="R78" t="str">
            <v>DT150-05</v>
          </cell>
          <cell r="S78"/>
          <cell r="T78"/>
          <cell r="U78"/>
          <cell r="V78"/>
          <cell r="W78"/>
          <cell r="X78"/>
          <cell r="Y78"/>
          <cell r="Z78"/>
          <cell r="AA78"/>
          <cell r="AB78"/>
          <cell r="AC78"/>
          <cell r="AD78"/>
          <cell r="AE78"/>
          <cell r="AF78"/>
          <cell r="AG78"/>
          <cell r="AH78" t="str">
            <v>DT180-05</v>
          </cell>
          <cell r="AI78"/>
          <cell r="AJ78"/>
          <cell r="AK78"/>
          <cell r="AL78"/>
          <cell r="AM78"/>
          <cell r="AN78"/>
          <cell r="AO78"/>
          <cell r="AP78"/>
          <cell r="AQ78"/>
          <cell r="AR78"/>
          <cell r="AS78"/>
          <cell r="AT78"/>
          <cell r="AU78"/>
          <cell r="AV78"/>
          <cell r="AW78"/>
          <cell r="AX78"/>
          <cell r="AY78"/>
          <cell r="AZ78"/>
          <cell r="BA78"/>
          <cell r="BB78"/>
          <cell r="BC78"/>
          <cell r="BD78"/>
          <cell r="BE78"/>
          <cell r="BF78"/>
          <cell r="BG78"/>
          <cell r="BH78"/>
          <cell r="BI78"/>
          <cell r="BJ78"/>
          <cell r="BK78"/>
          <cell r="BL78"/>
          <cell r="BM78"/>
          <cell r="BN78"/>
          <cell r="BO78"/>
          <cell r="BP78"/>
          <cell r="BQ78"/>
          <cell r="BR78"/>
          <cell r="BS78"/>
          <cell r="BT78"/>
          <cell r="BU78"/>
          <cell r="BV78"/>
          <cell r="BW78"/>
          <cell r="BX78"/>
          <cell r="BY78"/>
          <cell r="BZ78"/>
          <cell r="CA78"/>
          <cell r="CB78"/>
          <cell r="CC78"/>
          <cell r="CD78"/>
          <cell r="CE78"/>
          <cell r="CF78"/>
          <cell r="CG78"/>
          <cell r="CH78"/>
          <cell r="CI78"/>
          <cell r="CJ78"/>
          <cell r="CK78"/>
          <cell r="CL78"/>
          <cell r="CM78"/>
          <cell r="CN78"/>
          <cell r="CO78"/>
          <cell r="CP78"/>
          <cell r="CQ78"/>
          <cell r="CR78"/>
          <cell r="CS78"/>
          <cell r="CT78"/>
          <cell r="CU78"/>
          <cell r="CV78"/>
          <cell r="CW78"/>
          <cell r="CX78"/>
          <cell r="CY78"/>
          <cell r="CZ78"/>
          <cell r="DA78"/>
          <cell r="DB78"/>
          <cell r="DC78"/>
          <cell r="DD78"/>
          <cell r="DE78"/>
          <cell r="DF78"/>
          <cell r="DG78"/>
          <cell r="DH78"/>
          <cell r="DI78"/>
          <cell r="DJ78"/>
          <cell r="DK78"/>
          <cell r="DL78"/>
          <cell r="DM78"/>
          <cell r="DN78"/>
          <cell r="DO78"/>
          <cell r="DP78"/>
          <cell r="DQ78"/>
          <cell r="DR78"/>
          <cell r="DS78"/>
          <cell r="DT78"/>
          <cell r="DU78"/>
          <cell r="DV78"/>
          <cell r="DW78"/>
          <cell r="DX78"/>
          <cell r="ED78" t="str">
            <v>DT150-05DT180-05</v>
          </cell>
          <cell r="ES78" t="str">
            <v>785C-APX4261.RE.CC.0 BRAKE/SLACK ADJUSTER</v>
          </cell>
          <cell r="ET78" t="str">
            <v>785C-APX</v>
          </cell>
          <cell r="EV78" t="str">
            <v>4261.RE.CC.0 BRAKE/SLACK ADJUSTER</v>
          </cell>
          <cell r="EW78">
            <v>353.84399999999999</v>
          </cell>
          <cell r="EX78">
            <v>195</v>
          </cell>
        </row>
        <row r="79">
          <cell r="A79" t="str">
            <v>7527.00.PM.0 2000 SVC HOUR MAINTENANCE</v>
          </cell>
          <cell r="B79" t="str">
            <v>YES</v>
          </cell>
          <cell r="M79" t="str">
            <v>7526.00.PM.0 1000 SVC HOUR MAINTENANCE</v>
          </cell>
          <cell r="N79"/>
          <cell r="O79"/>
          <cell r="P79"/>
          <cell r="Q79"/>
          <cell r="R79"/>
          <cell r="S79"/>
          <cell r="T79"/>
          <cell r="U79"/>
          <cell r="V79"/>
          <cell r="W79" t="str">
            <v>DT150-10</v>
          </cell>
          <cell r="X79"/>
          <cell r="Y79"/>
          <cell r="Z79"/>
          <cell r="AA79"/>
          <cell r="AB79"/>
          <cell r="AC79"/>
          <cell r="AD79"/>
          <cell r="AE79"/>
          <cell r="AF79"/>
          <cell r="AG79"/>
          <cell r="AH79"/>
          <cell r="AI79" t="str">
            <v>DT180-06</v>
          </cell>
          <cell r="AJ79"/>
          <cell r="AK79" t="str">
            <v>DT180-08</v>
          </cell>
          <cell r="AL79"/>
          <cell r="AM79"/>
          <cell r="AN79"/>
          <cell r="AO79"/>
          <cell r="AP79"/>
          <cell r="AQ79"/>
          <cell r="AR79"/>
          <cell r="AS79"/>
          <cell r="AT79"/>
          <cell r="AU79"/>
          <cell r="AV79"/>
          <cell r="AW79"/>
          <cell r="AX79"/>
          <cell r="AY79"/>
          <cell r="AZ79"/>
          <cell r="BA79"/>
          <cell r="BB79"/>
          <cell r="BC79"/>
          <cell r="BD79"/>
          <cell r="BE79"/>
          <cell r="BF79"/>
          <cell r="BG79"/>
          <cell r="BH79"/>
          <cell r="BI79"/>
          <cell r="BJ79"/>
          <cell r="BK79"/>
          <cell r="BL79"/>
          <cell r="BM79"/>
          <cell r="BN79"/>
          <cell r="BO79"/>
          <cell r="BP79"/>
          <cell r="BQ79"/>
          <cell r="BR79"/>
          <cell r="BS79"/>
          <cell r="BT79"/>
          <cell r="BU79"/>
          <cell r="BV79"/>
          <cell r="BW79"/>
          <cell r="BX79"/>
          <cell r="BY79"/>
          <cell r="BZ79"/>
          <cell r="CA79"/>
          <cell r="CB79"/>
          <cell r="CC79"/>
          <cell r="CD79"/>
          <cell r="CE79"/>
          <cell r="CF79"/>
          <cell r="CG79"/>
          <cell r="CH79"/>
          <cell r="CI79"/>
          <cell r="CJ79"/>
          <cell r="CK79"/>
          <cell r="CL79"/>
          <cell r="CM79"/>
          <cell r="CN79"/>
          <cell r="CO79"/>
          <cell r="CP79"/>
          <cell r="CQ79"/>
          <cell r="CR79"/>
          <cell r="CS79"/>
          <cell r="CT79"/>
          <cell r="CU79"/>
          <cell r="CV79"/>
          <cell r="CW79"/>
          <cell r="CX79"/>
          <cell r="CY79"/>
          <cell r="CZ79"/>
          <cell r="DA79"/>
          <cell r="DB79"/>
          <cell r="DC79"/>
          <cell r="DD79"/>
          <cell r="DE79"/>
          <cell r="DF79"/>
          <cell r="DG79"/>
          <cell r="DH79"/>
          <cell r="DI79"/>
          <cell r="DJ79"/>
          <cell r="DK79"/>
          <cell r="DL79"/>
          <cell r="DM79"/>
          <cell r="DN79"/>
          <cell r="DO79"/>
          <cell r="DP79"/>
          <cell r="DQ79"/>
          <cell r="DR79"/>
          <cell r="DS79"/>
          <cell r="DT79"/>
          <cell r="DU79"/>
          <cell r="DV79"/>
          <cell r="DW79"/>
          <cell r="DX79"/>
          <cell r="ED79" t="str">
            <v>DT150-10DT180-06DT180-08</v>
          </cell>
          <cell r="ES79" t="str">
            <v>785C-APX4265.00.CC.0 SERVICE BRAKE CONTROL VALVE</v>
          </cell>
          <cell r="ET79" t="str">
            <v>785C-APX</v>
          </cell>
          <cell r="EV79" t="str">
            <v>4265.00.CC.0 SERVICE BRAKE CONTROL VALVE</v>
          </cell>
          <cell r="EW79">
            <v>3850.72</v>
          </cell>
          <cell r="EX79">
            <v>195</v>
          </cell>
        </row>
        <row r="80">
          <cell r="A80" t="str">
            <v>9402.00.CC.0 FRONT WHEEL OIL</v>
          </cell>
          <cell r="B80" t="str">
            <v>YES</v>
          </cell>
          <cell r="M80" t="str">
            <v>7527.00.PM.0 2000 SVC HOUR MAINTENANCE</v>
          </cell>
          <cell r="N80"/>
          <cell r="O80"/>
          <cell r="P80"/>
          <cell r="Q80"/>
          <cell r="R80"/>
          <cell r="S80"/>
          <cell r="T80"/>
          <cell r="U80"/>
          <cell r="V80"/>
          <cell r="W80"/>
          <cell r="X80"/>
          <cell r="Y80"/>
          <cell r="Z80"/>
          <cell r="AA80"/>
          <cell r="AB80"/>
          <cell r="AC80"/>
          <cell r="AD80"/>
          <cell r="AE80"/>
          <cell r="AF80"/>
          <cell r="AG80"/>
          <cell r="AH80"/>
          <cell r="AI80"/>
          <cell r="AJ80"/>
          <cell r="AK80"/>
          <cell r="AL80"/>
          <cell r="AM80"/>
          <cell r="AN80"/>
          <cell r="AO80"/>
          <cell r="AP80"/>
          <cell r="AQ80"/>
          <cell r="AR80"/>
          <cell r="AS80"/>
          <cell r="AT80"/>
          <cell r="AU80"/>
          <cell r="AV80"/>
          <cell r="AW80"/>
          <cell r="AX80"/>
          <cell r="AY80"/>
          <cell r="AZ80"/>
          <cell r="BA80"/>
          <cell r="BB80"/>
          <cell r="BC80"/>
          <cell r="BD80"/>
          <cell r="BE80"/>
          <cell r="BF80"/>
          <cell r="BG80"/>
          <cell r="BH80"/>
          <cell r="BI80"/>
          <cell r="BJ80"/>
          <cell r="BK80"/>
          <cell r="BL80"/>
          <cell r="BM80"/>
          <cell r="BN80"/>
          <cell r="BO80"/>
          <cell r="BP80"/>
          <cell r="BQ80"/>
          <cell r="BR80"/>
          <cell r="BS80"/>
          <cell r="BT80"/>
          <cell r="BU80"/>
          <cell r="BV80"/>
          <cell r="BW80"/>
          <cell r="BX80"/>
          <cell r="BY80"/>
          <cell r="BZ80"/>
          <cell r="CA80"/>
          <cell r="CB80"/>
          <cell r="CC80"/>
          <cell r="CD80"/>
          <cell r="CE80"/>
          <cell r="CF80"/>
          <cell r="CG80"/>
          <cell r="CH80"/>
          <cell r="CI80"/>
          <cell r="CJ80"/>
          <cell r="CK80"/>
          <cell r="CL80"/>
          <cell r="CM80"/>
          <cell r="CN80"/>
          <cell r="CO80"/>
          <cell r="CP80"/>
          <cell r="CQ80"/>
          <cell r="CR80"/>
          <cell r="CS80"/>
          <cell r="CT80"/>
          <cell r="CU80"/>
          <cell r="CV80"/>
          <cell r="CW80"/>
          <cell r="CX80"/>
          <cell r="CY80"/>
          <cell r="CZ80"/>
          <cell r="DA80"/>
          <cell r="DB80"/>
          <cell r="DC80"/>
          <cell r="DD80"/>
          <cell r="DE80"/>
          <cell r="DF80"/>
          <cell r="DG80"/>
          <cell r="DH80"/>
          <cell r="DI80"/>
          <cell r="DJ80"/>
          <cell r="DK80"/>
          <cell r="DL80"/>
          <cell r="DM80"/>
          <cell r="DN80"/>
          <cell r="DO80"/>
          <cell r="DP80"/>
          <cell r="DQ80"/>
          <cell r="DR80"/>
          <cell r="DS80"/>
          <cell r="DT80"/>
          <cell r="DU80"/>
          <cell r="DV80"/>
          <cell r="DW80"/>
          <cell r="DX80"/>
          <cell r="ED80"/>
          <cell r="ES80" t="str">
            <v>785C-APX4265.00.RM.0 SERVICE BRAKE CONTROL VALVE</v>
          </cell>
          <cell r="ET80" t="str">
            <v>785C-APX</v>
          </cell>
          <cell r="EV80" t="str">
            <v>4265.00.RM.0 SERVICE BRAKE CONTROL VALVE</v>
          </cell>
          <cell r="EW80">
            <v>33.886775999999998</v>
          </cell>
          <cell r="EX80">
            <v>32.5</v>
          </cell>
        </row>
        <row r="81">
          <cell r="A81" t="str">
            <v>9414.00.CC.0 ENGINE OIL</v>
          </cell>
          <cell r="B81" t="str">
            <v>YES</v>
          </cell>
          <cell r="M81" t="str">
            <v>9402.00.CC.0 FRONT WHEEL OIL</v>
          </cell>
          <cell r="N81"/>
          <cell r="O81"/>
          <cell r="P81"/>
          <cell r="Q81"/>
          <cell r="R81" t="str">
            <v>DT150-05</v>
          </cell>
          <cell r="S81"/>
          <cell r="T81"/>
          <cell r="U81"/>
          <cell r="V81"/>
          <cell r="W81" t="str">
            <v>DT150-10</v>
          </cell>
          <cell r="X81"/>
          <cell r="Y81"/>
          <cell r="Z81"/>
          <cell r="AA81"/>
          <cell r="AB81"/>
          <cell r="AC81"/>
          <cell r="AD81"/>
          <cell r="AE81"/>
          <cell r="AF81"/>
          <cell r="AG81"/>
          <cell r="AH81" t="str">
            <v>DT180-05</v>
          </cell>
          <cell r="AI81" t="str">
            <v>DT180-06</v>
          </cell>
          <cell r="AJ81"/>
          <cell r="AK81" t="str">
            <v>DT180-08</v>
          </cell>
          <cell r="AL81"/>
          <cell r="AM81"/>
          <cell r="AN81"/>
          <cell r="AO81"/>
          <cell r="AP81"/>
          <cell r="AQ81"/>
          <cell r="AR81"/>
          <cell r="AS81"/>
          <cell r="AT81"/>
          <cell r="AU81"/>
          <cell r="AV81"/>
          <cell r="AW81"/>
          <cell r="AX81"/>
          <cell r="AY81"/>
          <cell r="AZ81"/>
          <cell r="BA81"/>
          <cell r="BB81"/>
          <cell r="BC81"/>
          <cell r="BD81"/>
          <cell r="BE81"/>
          <cell r="BF81"/>
          <cell r="BG81"/>
          <cell r="BH81"/>
          <cell r="BI81"/>
          <cell r="BJ81"/>
          <cell r="BK81"/>
          <cell r="BL81"/>
          <cell r="BM81"/>
          <cell r="BN81"/>
          <cell r="BO81"/>
          <cell r="BP81"/>
          <cell r="BQ81"/>
          <cell r="BR81"/>
          <cell r="BS81"/>
          <cell r="BT81"/>
          <cell r="BU81"/>
          <cell r="BV81"/>
          <cell r="BW81"/>
          <cell r="BX81"/>
          <cell r="BY81"/>
          <cell r="BZ81"/>
          <cell r="CA81"/>
          <cell r="CB81"/>
          <cell r="CC81"/>
          <cell r="CD81"/>
          <cell r="CE81"/>
          <cell r="CF81"/>
          <cell r="CG81"/>
          <cell r="CH81"/>
          <cell r="CI81"/>
          <cell r="CJ81"/>
          <cell r="CK81"/>
          <cell r="CL81"/>
          <cell r="CM81"/>
          <cell r="CN81"/>
          <cell r="CO81"/>
          <cell r="CP81"/>
          <cell r="CQ81"/>
          <cell r="CR81"/>
          <cell r="CS81"/>
          <cell r="CT81"/>
          <cell r="CU81"/>
          <cell r="CV81"/>
          <cell r="CW81"/>
          <cell r="CX81"/>
          <cell r="CY81"/>
          <cell r="CZ81"/>
          <cell r="DA81"/>
          <cell r="DB81"/>
          <cell r="DC81"/>
          <cell r="DD81"/>
          <cell r="DE81"/>
          <cell r="DF81"/>
          <cell r="DG81"/>
          <cell r="DH81"/>
          <cell r="DI81"/>
          <cell r="DJ81"/>
          <cell r="DK81"/>
          <cell r="DL81"/>
          <cell r="DM81"/>
          <cell r="DN81"/>
          <cell r="DO81"/>
          <cell r="DP81"/>
          <cell r="DQ81"/>
          <cell r="DR81"/>
          <cell r="DS81"/>
          <cell r="DT81"/>
          <cell r="DU81"/>
          <cell r="DV81"/>
          <cell r="DW81"/>
          <cell r="DX81"/>
          <cell r="ED81" t="str">
            <v>DT150-05DT150-10DT180-05DT180-06DT180-08</v>
          </cell>
          <cell r="ES81" t="str">
            <v>785C-APX4277.FR.CC.0 BRAKE AIR OVER HYDRAULIC CYLINDER</v>
          </cell>
          <cell r="ET81" t="str">
            <v>785C-APX</v>
          </cell>
          <cell r="EV81" t="str">
            <v>4277.FR.CC.0 BRAKE AIR OVER HYDRAULIC CYLINDER</v>
          </cell>
          <cell r="EW81">
            <v>618.28800000000001</v>
          </cell>
          <cell r="EX81">
            <v>130</v>
          </cell>
        </row>
        <row r="82">
          <cell r="A82" t="str">
            <v>9415.00.CC.0 TRANS OIL</v>
          </cell>
          <cell r="B82" t="str">
            <v>YES</v>
          </cell>
          <cell r="M82" t="str">
            <v>9414.00.CC.0 ENGINE OIL</v>
          </cell>
          <cell r="N82"/>
          <cell r="O82"/>
          <cell r="P82"/>
          <cell r="Q82"/>
          <cell r="R82" t="str">
            <v>DT150-05</v>
          </cell>
          <cell r="S82"/>
          <cell r="T82"/>
          <cell r="U82"/>
          <cell r="V82"/>
          <cell r="W82" t="str">
            <v>DT150-10</v>
          </cell>
          <cell r="X82"/>
          <cell r="Y82"/>
          <cell r="Z82"/>
          <cell r="AA82"/>
          <cell r="AB82"/>
          <cell r="AC82"/>
          <cell r="AD82"/>
          <cell r="AE82"/>
          <cell r="AF82"/>
          <cell r="AG82"/>
          <cell r="AH82" t="str">
            <v>DT180-05</v>
          </cell>
          <cell r="AI82" t="str">
            <v>DT180-06</v>
          </cell>
          <cell r="AJ82"/>
          <cell r="AK82" t="str">
            <v>DT180-08</v>
          </cell>
          <cell r="AL82"/>
          <cell r="AM82"/>
          <cell r="AN82"/>
          <cell r="AO82"/>
          <cell r="AP82"/>
          <cell r="AQ82"/>
          <cell r="AR82"/>
          <cell r="AS82"/>
          <cell r="AT82"/>
          <cell r="AU82"/>
          <cell r="AV82"/>
          <cell r="AW82"/>
          <cell r="AX82"/>
          <cell r="AY82"/>
          <cell r="AZ82"/>
          <cell r="BA82"/>
          <cell r="BB82"/>
          <cell r="BC82"/>
          <cell r="BD82"/>
          <cell r="BE82"/>
          <cell r="BF82"/>
          <cell r="BG82"/>
          <cell r="BH82"/>
          <cell r="BI82"/>
          <cell r="BJ82"/>
          <cell r="BK82"/>
          <cell r="BL82"/>
          <cell r="BM82"/>
          <cell r="BN82"/>
          <cell r="BO82"/>
          <cell r="BP82"/>
          <cell r="BQ82"/>
          <cell r="BR82"/>
          <cell r="BS82"/>
          <cell r="BT82"/>
          <cell r="BU82"/>
          <cell r="BV82"/>
          <cell r="BW82"/>
          <cell r="BX82"/>
          <cell r="BY82"/>
          <cell r="BZ82"/>
          <cell r="CA82"/>
          <cell r="CB82"/>
          <cell r="CC82"/>
          <cell r="CD82"/>
          <cell r="CE82"/>
          <cell r="CF82"/>
          <cell r="CG82"/>
          <cell r="CH82"/>
          <cell r="CI82"/>
          <cell r="CJ82"/>
          <cell r="CK82"/>
          <cell r="CL82"/>
          <cell r="CM82"/>
          <cell r="CN82"/>
          <cell r="CO82"/>
          <cell r="CP82"/>
          <cell r="CQ82"/>
          <cell r="CR82"/>
          <cell r="CS82"/>
          <cell r="CT82"/>
          <cell r="CU82"/>
          <cell r="CV82"/>
          <cell r="CW82"/>
          <cell r="CX82"/>
          <cell r="CY82"/>
          <cell r="CZ82"/>
          <cell r="DA82"/>
          <cell r="DB82"/>
          <cell r="DC82"/>
          <cell r="DD82"/>
          <cell r="DE82"/>
          <cell r="DF82"/>
          <cell r="DG82"/>
          <cell r="DH82"/>
          <cell r="DI82"/>
          <cell r="DJ82"/>
          <cell r="DK82"/>
          <cell r="DL82"/>
          <cell r="DM82"/>
          <cell r="DN82"/>
          <cell r="DO82"/>
          <cell r="DP82"/>
          <cell r="DQ82"/>
          <cell r="DR82"/>
          <cell r="DS82"/>
          <cell r="DT82"/>
          <cell r="DU82"/>
          <cell r="DV82"/>
          <cell r="DW82"/>
          <cell r="DX82"/>
          <cell r="ED82" t="str">
            <v>DT150-05DT150-10DT180-05DT180-06DT180-08</v>
          </cell>
          <cell r="ES82" t="str">
            <v>785C-APX4277.RE.CC.0 BRAKE AIR OVER HYDRAULIC CYLINDER</v>
          </cell>
          <cell r="ET82" t="str">
            <v>785C-APX</v>
          </cell>
          <cell r="EV82" t="str">
            <v>4277.RE.CC.0 BRAKE AIR OVER HYDRAULIC CYLINDER</v>
          </cell>
          <cell r="EW82">
            <v>1181.9559999999999</v>
          </cell>
          <cell r="EX82">
            <v>130</v>
          </cell>
        </row>
        <row r="83">
          <cell r="A83" t="str">
            <v>9416.00.CC.0 STEERING OIL</v>
          </cell>
          <cell r="B83" t="str">
            <v>YES</v>
          </cell>
          <cell r="M83" t="str">
            <v>9415.00.CC.0 TRANS OIL</v>
          </cell>
          <cell r="N83"/>
          <cell r="O83"/>
          <cell r="P83"/>
          <cell r="Q83"/>
          <cell r="R83"/>
          <cell r="S83"/>
          <cell r="T83"/>
          <cell r="U83"/>
          <cell r="V83"/>
          <cell r="W83" t="str">
            <v>DT150-10</v>
          </cell>
          <cell r="X83"/>
          <cell r="Y83"/>
          <cell r="Z83"/>
          <cell r="AA83"/>
          <cell r="AB83"/>
          <cell r="AC83"/>
          <cell r="AD83"/>
          <cell r="AE83"/>
          <cell r="AF83"/>
          <cell r="AG83"/>
          <cell r="AH83"/>
          <cell r="AI83" t="str">
            <v>DT180-06</v>
          </cell>
          <cell r="AJ83"/>
          <cell r="AK83" t="str">
            <v>DT180-08</v>
          </cell>
          <cell r="AL83"/>
          <cell r="AM83"/>
          <cell r="AN83"/>
          <cell r="AO83"/>
          <cell r="AP83"/>
          <cell r="AQ83"/>
          <cell r="AR83"/>
          <cell r="AS83"/>
          <cell r="AT83"/>
          <cell r="AU83"/>
          <cell r="AV83"/>
          <cell r="AW83"/>
          <cell r="AX83"/>
          <cell r="AY83"/>
          <cell r="AZ83"/>
          <cell r="BA83"/>
          <cell r="BB83"/>
          <cell r="BC83"/>
          <cell r="BD83"/>
          <cell r="BE83"/>
          <cell r="BF83"/>
          <cell r="BG83"/>
          <cell r="BH83"/>
          <cell r="BI83"/>
          <cell r="BJ83"/>
          <cell r="BK83"/>
          <cell r="BL83"/>
          <cell r="BM83"/>
          <cell r="BN83"/>
          <cell r="BO83"/>
          <cell r="BP83"/>
          <cell r="BQ83"/>
          <cell r="BR83"/>
          <cell r="BS83"/>
          <cell r="BT83"/>
          <cell r="BU83"/>
          <cell r="BV83"/>
          <cell r="BW83"/>
          <cell r="BX83"/>
          <cell r="BY83"/>
          <cell r="BZ83"/>
          <cell r="CA83"/>
          <cell r="CB83"/>
          <cell r="CC83"/>
          <cell r="CD83"/>
          <cell r="CE83"/>
          <cell r="CF83"/>
          <cell r="CG83"/>
          <cell r="CH83"/>
          <cell r="CI83"/>
          <cell r="CJ83"/>
          <cell r="CK83"/>
          <cell r="CL83"/>
          <cell r="CM83"/>
          <cell r="CN83"/>
          <cell r="CO83"/>
          <cell r="CP83"/>
          <cell r="CQ83"/>
          <cell r="CR83"/>
          <cell r="CS83"/>
          <cell r="CT83"/>
          <cell r="CU83"/>
          <cell r="CV83"/>
          <cell r="CW83"/>
          <cell r="CX83"/>
          <cell r="CY83"/>
          <cell r="CZ83"/>
          <cell r="DA83"/>
          <cell r="DB83"/>
          <cell r="DC83"/>
          <cell r="DD83"/>
          <cell r="DE83"/>
          <cell r="DF83"/>
          <cell r="DG83"/>
          <cell r="DH83"/>
          <cell r="DI83"/>
          <cell r="DJ83"/>
          <cell r="DK83"/>
          <cell r="DL83"/>
          <cell r="DM83"/>
          <cell r="DN83"/>
          <cell r="DO83"/>
          <cell r="DP83"/>
          <cell r="DQ83"/>
          <cell r="DR83"/>
          <cell r="DS83"/>
          <cell r="DT83"/>
          <cell r="DU83"/>
          <cell r="DV83"/>
          <cell r="DW83"/>
          <cell r="DX83"/>
          <cell r="ED83" t="str">
            <v>DT150-10DT180-06DT180-08</v>
          </cell>
          <cell r="ES83" t="str">
            <v>785C-APX4284.00.CC.0 PARKING BRAKE CONTROL</v>
          </cell>
          <cell r="ET83" t="str">
            <v>785C-APX</v>
          </cell>
          <cell r="EV83" t="str">
            <v>4284.00.CC.0 PARKING BRAKE CONTROL</v>
          </cell>
          <cell r="EW83">
            <v>270.85500000000002</v>
          </cell>
          <cell r="EX83">
            <v>130</v>
          </cell>
        </row>
        <row r="84">
          <cell r="A84" t="str">
            <v>9417.00.CC.0 DIFF, FINAL DRIVE OIL</v>
          </cell>
          <cell r="B84" t="str">
            <v>YES</v>
          </cell>
          <cell r="M84" t="str">
            <v>9416.00.CC.0 STEERING OIL</v>
          </cell>
          <cell r="N84"/>
          <cell r="O84"/>
          <cell r="P84"/>
          <cell r="Q84"/>
          <cell r="R84"/>
          <cell r="S84"/>
          <cell r="T84"/>
          <cell r="U84"/>
          <cell r="V84"/>
          <cell r="W84"/>
          <cell r="X84"/>
          <cell r="Y84"/>
          <cell r="Z84"/>
          <cell r="AA84"/>
          <cell r="AB84"/>
          <cell r="AC84"/>
          <cell r="AD84"/>
          <cell r="AE84"/>
          <cell r="AF84"/>
          <cell r="AG84"/>
          <cell r="AH84"/>
          <cell r="AI84"/>
          <cell r="AJ84"/>
          <cell r="AK84"/>
          <cell r="AL84"/>
          <cell r="AM84"/>
          <cell r="AN84"/>
          <cell r="AO84"/>
          <cell r="AP84"/>
          <cell r="AQ84"/>
          <cell r="AR84"/>
          <cell r="AS84"/>
          <cell r="AT84"/>
          <cell r="AU84"/>
          <cell r="AV84"/>
          <cell r="AW84"/>
          <cell r="AX84"/>
          <cell r="AY84"/>
          <cell r="AZ84"/>
          <cell r="BA84"/>
          <cell r="BB84"/>
          <cell r="BC84"/>
          <cell r="BD84"/>
          <cell r="BE84"/>
          <cell r="BF84"/>
          <cell r="BG84"/>
          <cell r="BH84"/>
          <cell r="BI84"/>
          <cell r="BJ84"/>
          <cell r="BK84"/>
          <cell r="BL84"/>
          <cell r="BM84"/>
          <cell r="BN84"/>
          <cell r="BO84"/>
          <cell r="BP84"/>
          <cell r="BQ84"/>
          <cell r="BR84"/>
          <cell r="BS84"/>
          <cell r="BT84"/>
          <cell r="BU84"/>
          <cell r="BV84"/>
          <cell r="BW84"/>
          <cell r="BX84"/>
          <cell r="BY84"/>
          <cell r="BZ84"/>
          <cell r="CA84"/>
          <cell r="CB84"/>
          <cell r="CC84"/>
          <cell r="CD84"/>
          <cell r="CE84"/>
          <cell r="CF84"/>
          <cell r="CG84"/>
          <cell r="CH84"/>
          <cell r="CI84"/>
          <cell r="CJ84"/>
          <cell r="CK84"/>
          <cell r="CL84"/>
          <cell r="CM84"/>
          <cell r="CN84"/>
          <cell r="CO84"/>
          <cell r="CP84"/>
          <cell r="CQ84"/>
          <cell r="CR84"/>
          <cell r="CS84"/>
          <cell r="CT84"/>
          <cell r="CU84"/>
          <cell r="CV84"/>
          <cell r="CW84"/>
          <cell r="CX84"/>
          <cell r="CY84"/>
          <cell r="CZ84"/>
          <cell r="DA84"/>
          <cell r="DB84"/>
          <cell r="DC84"/>
          <cell r="DD84"/>
          <cell r="DE84"/>
          <cell r="DF84"/>
          <cell r="DG84"/>
          <cell r="DH84"/>
          <cell r="DI84"/>
          <cell r="DJ84"/>
          <cell r="DK84"/>
          <cell r="DL84"/>
          <cell r="DM84"/>
          <cell r="DN84"/>
          <cell r="DO84"/>
          <cell r="DP84"/>
          <cell r="DQ84"/>
          <cell r="DR84"/>
          <cell r="DS84"/>
          <cell r="DT84"/>
          <cell r="DU84"/>
          <cell r="DV84"/>
          <cell r="DW84"/>
          <cell r="DX84"/>
          <cell r="ED84"/>
          <cell r="ES84" t="str">
            <v>785C-APX4294.00.CC.0 AUTOMATIC ELECTRONIC TRACTION AID</v>
          </cell>
          <cell r="ET84" t="str">
            <v>785C-APX</v>
          </cell>
          <cell r="EV84" t="str">
            <v>4294.00.CC.0 AUTOMATIC ELECTRONIC TRACTION AID</v>
          </cell>
          <cell r="EW84">
            <v>427.36</v>
          </cell>
          <cell r="EX84">
            <v>325</v>
          </cell>
        </row>
        <row r="85">
          <cell r="A85" t="str">
            <v>9421.00.CC.0 HYDRAULIC OIL</v>
          </cell>
          <cell r="B85" t="str">
            <v>YES</v>
          </cell>
          <cell r="M85" t="str">
            <v>9417.00.CC.0 DIFF, FINAL DRIVE OIL</v>
          </cell>
          <cell r="N85"/>
          <cell r="O85"/>
          <cell r="P85"/>
          <cell r="Q85"/>
          <cell r="R85"/>
          <cell r="S85"/>
          <cell r="T85"/>
          <cell r="U85"/>
          <cell r="V85"/>
          <cell r="W85"/>
          <cell r="X85"/>
          <cell r="Y85"/>
          <cell r="Z85"/>
          <cell r="AA85"/>
          <cell r="AB85"/>
          <cell r="AC85"/>
          <cell r="AD85"/>
          <cell r="AE85"/>
          <cell r="AF85"/>
          <cell r="AG85"/>
          <cell r="AH85"/>
          <cell r="AI85"/>
          <cell r="AJ85"/>
          <cell r="AK85"/>
          <cell r="AL85"/>
          <cell r="AM85"/>
          <cell r="AN85"/>
          <cell r="AO85"/>
          <cell r="AP85"/>
          <cell r="AQ85"/>
          <cell r="AR85"/>
          <cell r="AS85"/>
          <cell r="AT85"/>
          <cell r="AU85"/>
          <cell r="AV85"/>
          <cell r="AW85"/>
          <cell r="AX85"/>
          <cell r="AY85"/>
          <cell r="AZ85"/>
          <cell r="BA85"/>
          <cell r="BB85"/>
          <cell r="BC85"/>
          <cell r="BD85"/>
          <cell r="BE85"/>
          <cell r="BF85"/>
          <cell r="BG85"/>
          <cell r="BH85"/>
          <cell r="BI85"/>
          <cell r="BJ85"/>
          <cell r="BK85"/>
          <cell r="BL85"/>
          <cell r="BM85"/>
          <cell r="BN85"/>
          <cell r="BO85"/>
          <cell r="BP85"/>
          <cell r="BQ85"/>
          <cell r="BR85"/>
          <cell r="BS85"/>
          <cell r="BT85"/>
          <cell r="BU85"/>
          <cell r="BV85"/>
          <cell r="BW85"/>
          <cell r="BX85"/>
          <cell r="BY85"/>
          <cell r="BZ85"/>
          <cell r="CA85"/>
          <cell r="CB85"/>
          <cell r="CC85"/>
          <cell r="CD85"/>
          <cell r="CE85"/>
          <cell r="CF85"/>
          <cell r="CG85"/>
          <cell r="CH85"/>
          <cell r="CI85"/>
          <cell r="CJ85"/>
          <cell r="CK85"/>
          <cell r="CL85"/>
          <cell r="CM85"/>
          <cell r="CN85"/>
          <cell r="CO85"/>
          <cell r="CP85"/>
          <cell r="CQ85"/>
          <cell r="CR85"/>
          <cell r="CS85"/>
          <cell r="CT85"/>
          <cell r="CU85"/>
          <cell r="CV85"/>
          <cell r="CW85"/>
          <cell r="CX85"/>
          <cell r="CY85"/>
          <cell r="CZ85"/>
          <cell r="DA85"/>
          <cell r="DB85"/>
          <cell r="DC85"/>
          <cell r="DD85"/>
          <cell r="DE85"/>
          <cell r="DF85"/>
          <cell r="DG85"/>
          <cell r="DH85"/>
          <cell r="DI85"/>
          <cell r="DJ85"/>
          <cell r="DK85"/>
          <cell r="DL85"/>
          <cell r="DM85"/>
          <cell r="DN85"/>
          <cell r="DO85"/>
          <cell r="DP85"/>
          <cell r="DQ85"/>
          <cell r="DR85"/>
          <cell r="DS85"/>
          <cell r="DT85"/>
          <cell r="DU85"/>
          <cell r="DV85"/>
          <cell r="DW85"/>
          <cell r="DX85"/>
          <cell r="ED85"/>
          <cell r="ES85" t="str">
            <v>785C-APX4300.00.GR.0 STEERING SYSTEM</v>
          </cell>
          <cell r="ET85" t="str">
            <v>785C-APX</v>
          </cell>
          <cell r="EV85" t="str">
            <v>4300.00.GR.0 STEERING SYSTEM</v>
          </cell>
          <cell r="EW85">
            <v>357.39</v>
          </cell>
          <cell r="EX85">
            <v>780</v>
          </cell>
        </row>
        <row r="86">
          <cell r="M86" t="str">
            <v>9421.00.CC.0 HYDRAULIC OIL</v>
          </cell>
          <cell r="N86"/>
          <cell r="O86"/>
          <cell r="P86"/>
          <cell r="Q86"/>
          <cell r="R86"/>
          <cell r="S86"/>
          <cell r="T86"/>
          <cell r="U86"/>
          <cell r="V86"/>
          <cell r="W86"/>
          <cell r="X86"/>
          <cell r="Y86"/>
          <cell r="Z86"/>
          <cell r="AA86"/>
          <cell r="AB86"/>
          <cell r="AC86"/>
          <cell r="AD86"/>
          <cell r="AE86"/>
          <cell r="AF86"/>
          <cell r="AG86"/>
          <cell r="AH86"/>
          <cell r="AI86"/>
          <cell r="AJ86"/>
          <cell r="AK86"/>
          <cell r="AL86"/>
          <cell r="AM86"/>
          <cell r="AN86"/>
          <cell r="AO86"/>
          <cell r="AP86"/>
          <cell r="AQ86"/>
          <cell r="AR86"/>
          <cell r="AS86"/>
          <cell r="AT86"/>
          <cell r="AU86"/>
          <cell r="AV86"/>
          <cell r="AW86"/>
          <cell r="AX86"/>
          <cell r="AY86"/>
          <cell r="AZ86"/>
          <cell r="BA86"/>
          <cell r="BB86"/>
          <cell r="BC86"/>
          <cell r="BD86"/>
          <cell r="BE86"/>
          <cell r="BF86"/>
          <cell r="BG86"/>
          <cell r="BH86"/>
          <cell r="BI86"/>
          <cell r="BJ86"/>
          <cell r="BK86"/>
          <cell r="BL86"/>
          <cell r="BM86"/>
          <cell r="BN86"/>
          <cell r="BO86"/>
          <cell r="BP86"/>
          <cell r="BQ86"/>
          <cell r="BR86"/>
          <cell r="BS86"/>
          <cell r="BT86"/>
          <cell r="BU86"/>
          <cell r="BV86"/>
          <cell r="BW86"/>
          <cell r="BX86"/>
          <cell r="BY86"/>
          <cell r="BZ86"/>
          <cell r="CA86"/>
          <cell r="CB86"/>
          <cell r="CC86"/>
          <cell r="CD86"/>
          <cell r="CE86"/>
          <cell r="CF86"/>
          <cell r="CG86"/>
          <cell r="CH86"/>
          <cell r="CI86"/>
          <cell r="CJ86"/>
          <cell r="CK86"/>
          <cell r="CL86"/>
          <cell r="CM86"/>
          <cell r="CN86"/>
          <cell r="CO86"/>
          <cell r="CP86"/>
          <cell r="CQ86"/>
          <cell r="CR86"/>
          <cell r="CS86"/>
          <cell r="CT86"/>
          <cell r="CU86"/>
          <cell r="CV86"/>
          <cell r="CW86"/>
          <cell r="CX86"/>
          <cell r="CY86"/>
          <cell r="CZ86"/>
          <cell r="DA86"/>
          <cell r="DB86"/>
          <cell r="DC86"/>
          <cell r="DD86"/>
          <cell r="DE86"/>
          <cell r="DF86"/>
          <cell r="DG86"/>
          <cell r="DH86"/>
          <cell r="DI86"/>
          <cell r="DJ86"/>
          <cell r="DK86"/>
          <cell r="DL86"/>
          <cell r="DM86"/>
          <cell r="DN86"/>
          <cell r="DO86"/>
          <cell r="DP86"/>
          <cell r="DQ86"/>
          <cell r="DR86"/>
          <cell r="DS86"/>
          <cell r="DT86"/>
          <cell r="DU86"/>
          <cell r="DV86"/>
          <cell r="DW86"/>
          <cell r="DX86"/>
          <cell r="ED86"/>
          <cell r="ES86" t="str">
            <v>785C-APX4303.LT.CC.0 STEERING CYLD</v>
          </cell>
          <cell r="ET86" t="str">
            <v>785C-APX</v>
          </cell>
          <cell r="EV86" t="str">
            <v>4303.LT.CC.0 STEERING CYLD</v>
          </cell>
          <cell r="EW86">
            <v>5890.5940000000001</v>
          </cell>
          <cell r="EX86">
            <v>325</v>
          </cell>
        </row>
        <row r="87">
          <cell r="N87"/>
          <cell r="O87"/>
          <cell r="P87"/>
          <cell r="Q87"/>
          <cell r="R87"/>
          <cell r="S87"/>
          <cell r="T87"/>
          <cell r="U87"/>
          <cell r="V87"/>
          <cell r="W87"/>
          <cell r="X87"/>
          <cell r="Y87"/>
          <cell r="Z87"/>
          <cell r="AA87"/>
          <cell r="AB87"/>
          <cell r="AC87"/>
          <cell r="AD87"/>
          <cell r="AE87"/>
          <cell r="AF87"/>
          <cell r="AG87"/>
          <cell r="AH87"/>
          <cell r="AI87"/>
          <cell r="AJ87"/>
          <cell r="AK87"/>
          <cell r="AL87"/>
          <cell r="AM87"/>
          <cell r="AN87"/>
          <cell r="AO87"/>
          <cell r="AP87"/>
          <cell r="AQ87"/>
          <cell r="AR87"/>
          <cell r="AS87"/>
          <cell r="AT87"/>
          <cell r="AU87"/>
          <cell r="AV87"/>
          <cell r="AW87"/>
          <cell r="AX87"/>
          <cell r="AY87"/>
          <cell r="AZ87"/>
          <cell r="BA87"/>
          <cell r="BB87"/>
          <cell r="BC87"/>
          <cell r="BD87"/>
          <cell r="BE87"/>
          <cell r="BF87"/>
          <cell r="BG87"/>
          <cell r="BH87"/>
          <cell r="BI87"/>
          <cell r="BJ87"/>
          <cell r="BK87"/>
          <cell r="BL87"/>
          <cell r="BM87"/>
          <cell r="BN87"/>
          <cell r="BO87"/>
          <cell r="BP87"/>
          <cell r="BQ87"/>
          <cell r="BR87"/>
          <cell r="BS87"/>
          <cell r="BT87"/>
          <cell r="BU87"/>
          <cell r="BV87"/>
          <cell r="BW87"/>
          <cell r="BX87"/>
          <cell r="BY87"/>
          <cell r="BZ87"/>
          <cell r="CA87"/>
          <cell r="CB87"/>
          <cell r="CC87"/>
          <cell r="CD87"/>
          <cell r="CE87"/>
          <cell r="CF87"/>
          <cell r="CG87"/>
          <cell r="CH87"/>
          <cell r="CI87"/>
          <cell r="CJ87"/>
          <cell r="CK87"/>
          <cell r="CL87"/>
          <cell r="CM87"/>
          <cell r="CN87"/>
          <cell r="CO87"/>
          <cell r="CP87"/>
          <cell r="CQ87"/>
          <cell r="CR87"/>
          <cell r="CS87"/>
          <cell r="CT87"/>
          <cell r="CU87"/>
          <cell r="CV87"/>
          <cell r="CW87"/>
          <cell r="CX87"/>
          <cell r="CY87"/>
          <cell r="CZ87"/>
          <cell r="DA87"/>
          <cell r="DB87"/>
          <cell r="DC87"/>
          <cell r="DD87"/>
          <cell r="DE87"/>
          <cell r="DF87"/>
          <cell r="DG87"/>
          <cell r="DH87"/>
          <cell r="DI87"/>
          <cell r="DJ87"/>
          <cell r="DK87"/>
          <cell r="DL87"/>
          <cell r="DM87"/>
          <cell r="DN87"/>
          <cell r="DO87"/>
          <cell r="DP87"/>
          <cell r="DQ87"/>
          <cell r="DR87"/>
          <cell r="DS87"/>
          <cell r="DT87"/>
          <cell r="DU87"/>
          <cell r="DV87"/>
          <cell r="DW87"/>
          <cell r="DX87"/>
          <cell r="ED87"/>
          <cell r="ES87" t="str">
            <v>785C-APX4303.RI.CC.0 STEERING CYLD</v>
          </cell>
          <cell r="ET87" t="str">
            <v>785C-APX</v>
          </cell>
          <cell r="EV87" t="str">
            <v>4303.RI.CC.0 STEERING CYLD</v>
          </cell>
          <cell r="EW87">
            <v>5890.5940000000001</v>
          </cell>
          <cell r="EX87">
            <v>325</v>
          </cell>
        </row>
        <row r="88">
          <cell r="N88"/>
          <cell r="O88"/>
          <cell r="P88"/>
          <cell r="Q88"/>
          <cell r="R88"/>
          <cell r="S88"/>
          <cell r="T88"/>
          <cell r="U88"/>
          <cell r="V88"/>
          <cell r="W88"/>
          <cell r="X88"/>
          <cell r="Y88"/>
          <cell r="Z88"/>
          <cell r="AA88"/>
          <cell r="AB88"/>
          <cell r="AC88"/>
          <cell r="AD88"/>
          <cell r="AE88"/>
          <cell r="AF88"/>
          <cell r="AG88"/>
          <cell r="AH88"/>
          <cell r="AI88"/>
          <cell r="AJ88"/>
          <cell r="AK88"/>
          <cell r="AL88"/>
          <cell r="AM88"/>
          <cell r="AN88"/>
          <cell r="AO88"/>
          <cell r="AP88"/>
          <cell r="AQ88"/>
          <cell r="AR88"/>
          <cell r="AS88"/>
          <cell r="AT88"/>
          <cell r="AU88"/>
          <cell r="AV88"/>
          <cell r="AW88"/>
          <cell r="AX88"/>
          <cell r="AY88"/>
          <cell r="AZ88"/>
          <cell r="BA88"/>
          <cell r="BB88"/>
          <cell r="BC88"/>
          <cell r="BD88"/>
          <cell r="BE88"/>
          <cell r="BF88"/>
          <cell r="BG88"/>
          <cell r="BH88"/>
          <cell r="BI88"/>
          <cell r="BJ88"/>
          <cell r="BK88"/>
          <cell r="BL88"/>
          <cell r="BM88"/>
          <cell r="BN88"/>
          <cell r="BO88"/>
          <cell r="BP88"/>
          <cell r="BQ88"/>
          <cell r="BR88"/>
          <cell r="BS88"/>
          <cell r="BT88"/>
          <cell r="BU88"/>
          <cell r="BV88"/>
          <cell r="BW88"/>
          <cell r="BX88"/>
          <cell r="BY88"/>
          <cell r="BZ88"/>
          <cell r="CA88"/>
          <cell r="CB88"/>
          <cell r="CC88"/>
          <cell r="CD88"/>
          <cell r="CE88"/>
          <cell r="CF88"/>
          <cell r="CG88"/>
          <cell r="CH88"/>
          <cell r="CI88"/>
          <cell r="CJ88"/>
          <cell r="CK88"/>
          <cell r="CL88"/>
          <cell r="CM88"/>
          <cell r="CN88"/>
          <cell r="CO88"/>
          <cell r="CP88"/>
          <cell r="CQ88"/>
          <cell r="CR88"/>
          <cell r="CS88"/>
          <cell r="CT88"/>
          <cell r="CU88"/>
          <cell r="CV88"/>
          <cell r="CW88"/>
          <cell r="CX88"/>
          <cell r="CY88"/>
          <cell r="CZ88"/>
          <cell r="DA88"/>
          <cell r="DB88"/>
          <cell r="DC88"/>
          <cell r="DD88"/>
          <cell r="DE88"/>
          <cell r="DF88"/>
          <cell r="DG88"/>
          <cell r="DH88"/>
          <cell r="DI88"/>
          <cell r="DJ88"/>
          <cell r="DK88"/>
          <cell r="DL88"/>
          <cell r="DM88"/>
          <cell r="DN88"/>
          <cell r="DO88"/>
          <cell r="DP88"/>
          <cell r="DQ88"/>
          <cell r="DR88"/>
          <cell r="DS88"/>
          <cell r="DT88"/>
          <cell r="DU88"/>
          <cell r="DV88"/>
          <cell r="DW88"/>
          <cell r="DX88"/>
          <cell r="ED88"/>
          <cell r="ES88" t="str">
            <v>785C-APX4304.00.CC.0 STEERING LINES/HOSES</v>
          </cell>
          <cell r="ET88" t="str">
            <v>785C-APX</v>
          </cell>
          <cell r="EV88" t="str">
            <v>4304.00.CC.0 STEERING LINES/HOSES</v>
          </cell>
          <cell r="EW88">
            <v>3223.57</v>
          </cell>
          <cell r="EX88">
            <v>162.5</v>
          </cell>
        </row>
        <row r="89">
          <cell r="N89"/>
          <cell r="O89"/>
          <cell r="P89"/>
          <cell r="Q89"/>
          <cell r="R89"/>
          <cell r="S89"/>
          <cell r="T89"/>
          <cell r="U89"/>
          <cell r="V89"/>
          <cell r="W89"/>
          <cell r="X89"/>
          <cell r="Y89"/>
          <cell r="Z89"/>
          <cell r="AA89"/>
          <cell r="AB89"/>
          <cell r="AC89"/>
          <cell r="AD89"/>
          <cell r="AE89"/>
          <cell r="AF89"/>
          <cell r="AG89"/>
          <cell r="AH89"/>
          <cell r="AI89"/>
          <cell r="AJ89"/>
          <cell r="AK89"/>
          <cell r="AL89"/>
          <cell r="AM89"/>
          <cell r="AN89"/>
          <cell r="AO89"/>
          <cell r="AP89"/>
          <cell r="AQ89"/>
          <cell r="AR89"/>
          <cell r="AS89"/>
          <cell r="AT89"/>
          <cell r="AU89"/>
          <cell r="AV89"/>
          <cell r="AW89"/>
          <cell r="AX89"/>
          <cell r="AY89"/>
          <cell r="AZ89"/>
          <cell r="BA89"/>
          <cell r="BB89"/>
          <cell r="BC89"/>
          <cell r="BD89"/>
          <cell r="BE89"/>
          <cell r="BF89"/>
          <cell r="BG89"/>
          <cell r="BH89"/>
          <cell r="BI89"/>
          <cell r="BJ89"/>
          <cell r="BK89"/>
          <cell r="BL89"/>
          <cell r="BM89"/>
          <cell r="BN89"/>
          <cell r="BO89"/>
          <cell r="BP89"/>
          <cell r="BQ89"/>
          <cell r="BR89"/>
          <cell r="BS89"/>
          <cell r="BT89"/>
          <cell r="BU89"/>
          <cell r="BV89"/>
          <cell r="BW89"/>
          <cell r="BX89"/>
          <cell r="BY89"/>
          <cell r="BZ89"/>
          <cell r="CA89"/>
          <cell r="CB89"/>
          <cell r="CC89"/>
          <cell r="CD89"/>
          <cell r="CE89"/>
          <cell r="CF89"/>
          <cell r="CG89"/>
          <cell r="CH89"/>
          <cell r="CI89"/>
          <cell r="CJ89"/>
          <cell r="CK89"/>
          <cell r="CL89"/>
          <cell r="CM89"/>
          <cell r="CN89"/>
          <cell r="CO89"/>
          <cell r="CP89"/>
          <cell r="CQ89"/>
          <cell r="CR89"/>
          <cell r="CS89"/>
          <cell r="CT89"/>
          <cell r="CU89"/>
          <cell r="CV89"/>
          <cell r="CW89"/>
          <cell r="CX89"/>
          <cell r="CY89"/>
          <cell r="CZ89"/>
          <cell r="DA89"/>
          <cell r="DB89"/>
          <cell r="DC89"/>
          <cell r="DD89"/>
          <cell r="DE89"/>
          <cell r="DF89"/>
          <cell r="DG89"/>
          <cell r="DH89"/>
          <cell r="DI89"/>
          <cell r="DJ89"/>
          <cell r="DK89"/>
          <cell r="DL89"/>
          <cell r="DM89"/>
          <cell r="DN89"/>
          <cell r="DO89"/>
          <cell r="DP89"/>
          <cell r="DQ89"/>
          <cell r="DR89"/>
          <cell r="DS89"/>
          <cell r="DT89"/>
          <cell r="DU89"/>
          <cell r="DV89"/>
          <cell r="DW89"/>
          <cell r="DX89"/>
          <cell r="ED89"/>
          <cell r="ES89" t="str">
            <v>785C-APX4305.CE.CC.0 STEERING LINKAGE</v>
          </cell>
          <cell r="ET89" t="str">
            <v>785C-APX</v>
          </cell>
          <cell r="EV89" t="str">
            <v>4305.CE.CC.0 STEERING LINKAGE</v>
          </cell>
          <cell r="EW89">
            <v>1028.8699999999999</v>
          </cell>
          <cell r="EX89">
            <v>520</v>
          </cell>
        </row>
        <row r="90">
          <cell r="N90"/>
          <cell r="O90"/>
          <cell r="P90"/>
          <cell r="Q90"/>
          <cell r="R90"/>
          <cell r="S90"/>
          <cell r="T90"/>
          <cell r="U90"/>
          <cell r="V90"/>
          <cell r="W90"/>
          <cell r="X90"/>
          <cell r="Y90"/>
          <cell r="Z90"/>
          <cell r="AA90"/>
          <cell r="AB90"/>
          <cell r="AC90"/>
          <cell r="AD90"/>
          <cell r="AE90"/>
          <cell r="AF90"/>
          <cell r="AG90"/>
          <cell r="AH90"/>
          <cell r="AI90"/>
          <cell r="AJ90"/>
          <cell r="AK90"/>
          <cell r="AL90"/>
          <cell r="AM90"/>
          <cell r="AN90"/>
          <cell r="AO90"/>
          <cell r="AP90"/>
          <cell r="AQ90"/>
          <cell r="AR90"/>
          <cell r="AS90"/>
          <cell r="AT90"/>
          <cell r="AU90"/>
          <cell r="AV90"/>
          <cell r="AW90"/>
          <cell r="AX90"/>
          <cell r="AY90"/>
          <cell r="AZ90"/>
          <cell r="BA90"/>
          <cell r="BB90"/>
          <cell r="BC90"/>
          <cell r="BD90"/>
          <cell r="BE90"/>
          <cell r="BF90"/>
          <cell r="BG90"/>
          <cell r="BH90"/>
          <cell r="BI90"/>
          <cell r="BJ90"/>
          <cell r="BK90"/>
          <cell r="BL90"/>
          <cell r="BM90"/>
          <cell r="BN90"/>
          <cell r="BO90"/>
          <cell r="BP90"/>
          <cell r="BQ90"/>
          <cell r="BR90"/>
          <cell r="BS90"/>
          <cell r="BT90"/>
          <cell r="BU90"/>
          <cell r="BV90"/>
          <cell r="BW90"/>
          <cell r="BX90"/>
          <cell r="BY90"/>
          <cell r="BZ90"/>
          <cell r="CA90"/>
          <cell r="CB90"/>
          <cell r="CC90"/>
          <cell r="CD90"/>
          <cell r="CE90"/>
          <cell r="CF90"/>
          <cell r="CG90"/>
          <cell r="CH90"/>
          <cell r="CI90"/>
          <cell r="CJ90"/>
          <cell r="CK90"/>
          <cell r="CL90"/>
          <cell r="CM90"/>
          <cell r="CN90"/>
          <cell r="CO90"/>
          <cell r="CP90"/>
          <cell r="CQ90"/>
          <cell r="CR90"/>
          <cell r="CS90"/>
          <cell r="CT90"/>
          <cell r="CU90"/>
          <cell r="CV90"/>
          <cell r="CW90"/>
          <cell r="CX90"/>
          <cell r="CY90"/>
          <cell r="CZ90"/>
          <cell r="DA90"/>
          <cell r="DB90"/>
          <cell r="DC90"/>
          <cell r="DD90"/>
          <cell r="DE90"/>
          <cell r="DF90"/>
          <cell r="DG90"/>
          <cell r="DH90"/>
          <cell r="DI90"/>
          <cell r="DJ90"/>
          <cell r="DK90"/>
          <cell r="DL90"/>
          <cell r="DM90"/>
          <cell r="DN90"/>
          <cell r="DO90"/>
          <cell r="DP90"/>
          <cell r="DQ90"/>
          <cell r="DR90"/>
          <cell r="DS90"/>
          <cell r="DT90"/>
          <cell r="DU90"/>
          <cell r="DV90"/>
          <cell r="DW90"/>
          <cell r="DX90"/>
          <cell r="ED90"/>
          <cell r="ES90" t="str">
            <v>785C-APX4305.LT.CC.0 STEERING LINKAGE</v>
          </cell>
          <cell r="ET90" t="str">
            <v>785C-APX</v>
          </cell>
          <cell r="EV90" t="str">
            <v>4305.LT.CC.0 STEERING LINKAGE</v>
          </cell>
          <cell r="EW90">
            <v>3008.1880000000001</v>
          </cell>
          <cell r="EX90">
            <v>390</v>
          </cell>
        </row>
        <row r="91">
          <cell r="N91"/>
          <cell r="O91"/>
          <cell r="P91"/>
          <cell r="Q91"/>
          <cell r="R91"/>
          <cell r="S91"/>
          <cell r="T91"/>
          <cell r="U91"/>
          <cell r="V91"/>
          <cell r="W91"/>
          <cell r="X91"/>
          <cell r="Y91"/>
          <cell r="Z91"/>
          <cell r="AA91"/>
          <cell r="AB91"/>
          <cell r="AC91"/>
          <cell r="AD91"/>
          <cell r="AE91"/>
          <cell r="AF91"/>
          <cell r="AG91"/>
          <cell r="AH91"/>
          <cell r="AI91"/>
          <cell r="AJ91"/>
          <cell r="AK91"/>
          <cell r="AL91"/>
          <cell r="AM91"/>
          <cell r="AN91"/>
          <cell r="AO91"/>
          <cell r="AP91"/>
          <cell r="AQ91"/>
          <cell r="AR91"/>
          <cell r="AS91"/>
          <cell r="AT91"/>
          <cell r="AU91"/>
          <cell r="AV91"/>
          <cell r="AW91"/>
          <cell r="AX91"/>
          <cell r="AY91"/>
          <cell r="AZ91"/>
          <cell r="BA91"/>
          <cell r="BB91"/>
          <cell r="BC91"/>
          <cell r="BD91"/>
          <cell r="BE91"/>
          <cell r="BF91"/>
          <cell r="BG91"/>
          <cell r="BH91"/>
          <cell r="BI91"/>
          <cell r="BJ91"/>
          <cell r="BK91"/>
          <cell r="BL91"/>
          <cell r="BM91"/>
          <cell r="BN91"/>
          <cell r="BO91"/>
          <cell r="BP91"/>
          <cell r="BQ91"/>
          <cell r="BR91"/>
          <cell r="BS91"/>
          <cell r="BT91"/>
          <cell r="BU91"/>
          <cell r="BV91"/>
          <cell r="BW91"/>
          <cell r="BX91"/>
          <cell r="BY91"/>
          <cell r="BZ91"/>
          <cell r="CA91"/>
          <cell r="CB91"/>
          <cell r="CC91"/>
          <cell r="CD91"/>
          <cell r="CE91"/>
          <cell r="CF91"/>
          <cell r="CG91"/>
          <cell r="CH91"/>
          <cell r="CI91"/>
          <cell r="CJ91"/>
          <cell r="CK91"/>
          <cell r="CL91"/>
          <cell r="CM91"/>
          <cell r="CN91"/>
          <cell r="CO91"/>
          <cell r="CP91"/>
          <cell r="CQ91"/>
          <cell r="CR91"/>
          <cell r="CS91"/>
          <cell r="CT91"/>
          <cell r="CU91"/>
          <cell r="CV91"/>
          <cell r="CW91"/>
          <cell r="CX91"/>
          <cell r="CY91"/>
          <cell r="CZ91"/>
          <cell r="DA91"/>
          <cell r="DB91"/>
          <cell r="DC91"/>
          <cell r="DD91"/>
          <cell r="DE91"/>
          <cell r="DF91"/>
          <cell r="DG91"/>
          <cell r="DH91"/>
          <cell r="DI91"/>
          <cell r="DJ91"/>
          <cell r="DK91"/>
          <cell r="DL91"/>
          <cell r="DM91"/>
          <cell r="DN91"/>
          <cell r="DO91"/>
          <cell r="DP91"/>
          <cell r="DQ91"/>
          <cell r="DR91"/>
          <cell r="DS91"/>
          <cell r="DT91"/>
          <cell r="DU91"/>
          <cell r="DV91"/>
          <cell r="DW91"/>
          <cell r="DX91"/>
          <cell r="ED91"/>
          <cell r="ES91" t="str">
            <v>785C-APX4305.RI.CC.0 STEERING LINKAGE</v>
          </cell>
          <cell r="ET91" t="str">
            <v>785C-APX</v>
          </cell>
          <cell r="EV91" t="str">
            <v>4305.RI.CC.0 STEERING LINKAGE</v>
          </cell>
          <cell r="EW91">
            <v>3008.1880000000001</v>
          </cell>
          <cell r="EX91">
            <v>390</v>
          </cell>
        </row>
        <row r="92">
          <cell r="N92"/>
          <cell r="O92"/>
          <cell r="P92"/>
          <cell r="Q92"/>
          <cell r="R92"/>
          <cell r="S92"/>
          <cell r="T92"/>
          <cell r="U92"/>
          <cell r="V92"/>
          <cell r="W92"/>
          <cell r="X92"/>
          <cell r="Y92"/>
          <cell r="Z92"/>
          <cell r="AA92"/>
          <cell r="AB92"/>
          <cell r="AC92"/>
          <cell r="AD92"/>
          <cell r="AE92"/>
          <cell r="AF92"/>
          <cell r="AG92"/>
          <cell r="AH92"/>
          <cell r="AI92"/>
          <cell r="AJ92"/>
          <cell r="AK92"/>
          <cell r="AL92"/>
          <cell r="AM92"/>
          <cell r="AN92"/>
          <cell r="AO92"/>
          <cell r="AP92"/>
          <cell r="AQ92"/>
          <cell r="AR92"/>
          <cell r="AS92"/>
          <cell r="AT92"/>
          <cell r="AU92"/>
          <cell r="AV92"/>
          <cell r="AW92"/>
          <cell r="AX92"/>
          <cell r="AY92"/>
          <cell r="AZ92"/>
          <cell r="BA92"/>
          <cell r="BB92"/>
          <cell r="BC92"/>
          <cell r="BD92"/>
          <cell r="BE92"/>
          <cell r="BF92"/>
          <cell r="BG92"/>
          <cell r="BH92"/>
          <cell r="BI92"/>
          <cell r="BJ92"/>
          <cell r="BK92"/>
          <cell r="BL92"/>
          <cell r="BM92"/>
          <cell r="BN92"/>
          <cell r="BO92"/>
          <cell r="BP92"/>
          <cell r="BQ92"/>
          <cell r="BR92"/>
          <cell r="BS92"/>
          <cell r="BT92"/>
          <cell r="BU92"/>
          <cell r="BV92"/>
          <cell r="BW92"/>
          <cell r="BX92"/>
          <cell r="BY92"/>
          <cell r="BZ92"/>
          <cell r="CA92"/>
          <cell r="CB92"/>
          <cell r="CC92"/>
          <cell r="CD92"/>
          <cell r="CE92"/>
          <cell r="CF92"/>
          <cell r="CG92"/>
          <cell r="CH92"/>
          <cell r="CI92"/>
          <cell r="CJ92"/>
          <cell r="CK92"/>
          <cell r="CL92"/>
          <cell r="CM92"/>
          <cell r="CN92"/>
          <cell r="CO92"/>
          <cell r="CP92"/>
          <cell r="CQ92"/>
          <cell r="CR92"/>
          <cell r="CS92"/>
          <cell r="CT92"/>
          <cell r="CU92"/>
          <cell r="CV92"/>
          <cell r="CW92"/>
          <cell r="CX92"/>
          <cell r="CY92"/>
          <cell r="CZ92"/>
          <cell r="DA92"/>
          <cell r="DB92"/>
          <cell r="DC92"/>
          <cell r="DD92"/>
          <cell r="DE92"/>
          <cell r="DF92"/>
          <cell r="DG92"/>
          <cell r="DH92"/>
          <cell r="DI92"/>
          <cell r="DJ92"/>
          <cell r="DK92"/>
          <cell r="DL92"/>
          <cell r="DM92"/>
          <cell r="DN92"/>
          <cell r="DO92"/>
          <cell r="DP92"/>
          <cell r="DQ92"/>
          <cell r="DR92"/>
          <cell r="DS92"/>
          <cell r="DT92"/>
          <cell r="DU92"/>
          <cell r="DV92"/>
          <cell r="DW92"/>
          <cell r="DX92"/>
          <cell r="ED92"/>
          <cell r="ES92" t="str">
            <v>785C-APX4306.00.CC.0 STEERING PUMP</v>
          </cell>
          <cell r="ET92" t="str">
            <v>785C-APX</v>
          </cell>
          <cell r="EV92" t="str">
            <v>4306.00.CC.0 STEERING PUMP</v>
          </cell>
          <cell r="EW92">
            <v>2567.4299999999998</v>
          </cell>
          <cell r="EX92">
            <v>325</v>
          </cell>
        </row>
        <row r="93">
          <cell r="N93"/>
          <cell r="O93"/>
          <cell r="P93"/>
          <cell r="Q93"/>
          <cell r="R93"/>
          <cell r="S93"/>
          <cell r="T93"/>
          <cell r="U93"/>
          <cell r="V93"/>
          <cell r="W93"/>
          <cell r="X93"/>
          <cell r="Y93"/>
          <cell r="Z93"/>
          <cell r="AA93"/>
          <cell r="AB93"/>
          <cell r="AC93"/>
          <cell r="AD93"/>
          <cell r="AE93"/>
          <cell r="AF93"/>
          <cell r="AG93"/>
          <cell r="AH93"/>
          <cell r="AI93"/>
          <cell r="AJ93"/>
          <cell r="AK93"/>
          <cell r="AL93"/>
          <cell r="AM93"/>
          <cell r="AN93"/>
          <cell r="AO93"/>
          <cell r="AP93"/>
          <cell r="AQ93"/>
          <cell r="AR93"/>
          <cell r="AS93"/>
          <cell r="AT93"/>
          <cell r="AU93"/>
          <cell r="AV93"/>
          <cell r="AW93"/>
          <cell r="AX93"/>
          <cell r="AY93"/>
          <cell r="AZ93"/>
          <cell r="BA93"/>
          <cell r="BB93"/>
          <cell r="BC93"/>
          <cell r="BD93"/>
          <cell r="BE93"/>
          <cell r="BF93"/>
          <cell r="BG93"/>
          <cell r="BH93"/>
          <cell r="BI93"/>
          <cell r="BJ93"/>
          <cell r="BK93"/>
          <cell r="BL93"/>
          <cell r="BM93"/>
          <cell r="BN93"/>
          <cell r="BO93"/>
          <cell r="BP93"/>
          <cell r="BQ93"/>
          <cell r="BR93"/>
          <cell r="BS93"/>
          <cell r="BT93"/>
          <cell r="BU93"/>
          <cell r="BV93"/>
          <cell r="BW93"/>
          <cell r="BX93"/>
          <cell r="BY93"/>
          <cell r="BZ93"/>
          <cell r="CA93"/>
          <cell r="CB93"/>
          <cell r="CC93"/>
          <cell r="CD93"/>
          <cell r="CE93"/>
          <cell r="CF93"/>
          <cell r="CG93"/>
          <cell r="CH93"/>
          <cell r="CI93"/>
          <cell r="CJ93"/>
          <cell r="CK93"/>
          <cell r="CL93"/>
          <cell r="CM93"/>
          <cell r="CN93"/>
          <cell r="CO93"/>
          <cell r="CP93"/>
          <cell r="CQ93"/>
          <cell r="CR93"/>
          <cell r="CS93"/>
          <cell r="CT93"/>
          <cell r="CU93"/>
          <cell r="CV93"/>
          <cell r="CW93"/>
          <cell r="CX93"/>
          <cell r="CY93"/>
          <cell r="CZ93"/>
          <cell r="DA93"/>
          <cell r="DB93"/>
          <cell r="DC93"/>
          <cell r="DD93"/>
          <cell r="DE93"/>
          <cell r="DF93"/>
          <cell r="DG93"/>
          <cell r="DH93"/>
          <cell r="DI93"/>
          <cell r="DJ93"/>
          <cell r="DK93"/>
          <cell r="DL93"/>
          <cell r="DM93"/>
          <cell r="DN93"/>
          <cell r="DO93"/>
          <cell r="DP93"/>
          <cell r="DQ93"/>
          <cell r="DR93"/>
          <cell r="DS93"/>
          <cell r="DT93"/>
          <cell r="DU93"/>
          <cell r="DV93"/>
          <cell r="DW93"/>
          <cell r="DX93"/>
          <cell r="ED93"/>
          <cell r="ES93" t="str">
            <v>785C-APX4307.00.CC.0 STEERING VALVE</v>
          </cell>
          <cell r="ET93" t="str">
            <v>785C-APX</v>
          </cell>
          <cell r="EV93" t="str">
            <v>4307.00.CC.0 STEERING VALVE</v>
          </cell>
          <cell r="EW93">
            <v>317.08999999999997</v>
          </cell>
          <cell r="EX93">
            <v>260</v>
          </cell>
        </row>
        <row r="94">
          <cell r="N94"/>
          <cell r="O94"/>
          <cell r="P94"/>
          <cell r="Q94"/>
          <cell r="R94"/>
          <cell r="S94"/>
          <cell r="T94"/>
          <cell r="U94"/>
          <cell r="V94"/>
          <cell r="W94"/>
          <cell r="X94"/>
          <cell r="Y94"/>
          <cell r="Z94"/>
          <cell r="AA94"/>
          <cell r="AB94"/>
          <cell r="AC94"/>
          <cell r="AD94"/>
          <cell r="AE94"/>
          <cell r="AF94"/>
          <cell r="AG94"/>
          <cell r="AH94"/>
          <cell r="AI94"/>
          <cell r="AJ94"/>
          <cell r="AK94"/>
          <cell r="AL94"/>
          <cell r="AM94"/>
          <cell r="AN94"/>
          <cell r="AO94"/>
          <cell r="AP94"/>
          <cell r="AQ94"/>
          <cell r="AR94"/>
          <cell r="AS94"/>
          <cell r="AT94"/>
          <cell r="AU94"/>
          <cell r="AV94"/>
          <cell r="AW94"/>
          <cell r="AX94"/>
          <cell r="AY94"/>
          <cell r="AZ94"/>
          <cell r="BA94"/>
          <cell r="BB94"/>
          <cell r="BC94"/>
          <cell r="BD94"/>
          <cell r="BE94"/>
          <cell r="BF94"/>
          <cell r="BG94"/>
          <cell r="BH94"/>
          <cell r="BI94"/>
          <cell r="BJ94"/>
          <cell r="BK94"/>
          <cell r="BL94"/>
          <cell r="BM94"/>
          <cell r="BN94"/>
          <cell r="BO94"/>
          <cell r="BP94"/>
          <cell r="BQ94"/>
          <cell r="BR94"/>
          <cell r="BS94"/>
          <cell r="BT94"/>
          <cell r="BU94"/>
          <cell r="BV94"/>
          <cell r="BW94"/>
          <cell r="BX94"/>
          <cell r="BY94"/>
          <cell r="BZ94"/>
          <cell r="CA94"/>
          <cell r="CB94"/>
          <cell r="CC94"/>
          <cell r="CD94"/>
          <cell r="CE94"/>
          <cell r="CF94"/>
          <cell r="CG94"/>
          <cell r="CH94"/>
          <cell r="CI94"/>
          <cell r="CJ94"/>
          <cell r="CK94"/>
          <cell r="CL94"/>
          <cell r="CM94"/>
          <cell r="CN94"/>
          <cell r="CO94"/>
          <cell r="CP94"/>
          <cell r="CQ94"/>
          <cell r="CR94"/>
          <cell r="CS94"/>
          <cell r="CT94"/>
          <cell r="CU94"/>
          <cell r="CV94"/>
          <cell r="CW94"/>
          <cell r="CX94"/>
          <cell r="CY94"/>
          <cell r="CZ94"/>
          <cell r="DA94"/>
          <cell r="DB94"/>
          <cell r="DC94"/>
          <cell r="DD94"/>
          <cell r="DE94"/>
          <cell r="DF94"/>
          <cell r="DG94"/>
          <cell r="DH94"/>
          <cell r="DI94"/>
          <cell r="DJ94"/>
          <cell r="DK94"/>
          <cell r="DL94"/>
          <cell r="DM94"/>
          <cell r="DN94"/>
          <cell r="DO94"/>
          <cell r="DP94"/>
          <cell r="DQ94"/>
          <cell r="DR94"/>
          <cell r="DS94"/>
          <cell r="DT94"/>
          <cell r="DU94"/>
          <cell r="DV94"/>
          <cell r="DW94"/>
          <cell r="DX94"/>
          <cell r="ED94"/>
          <cell r="ES94" t="str">
            <v>785C-APX4312.00.CC.0 HMU</v>
          </cell>
          <cell r="ET94" t="str">
            <v>785C-APX</v>
          </cell>
          <cell r="EV94" t="str">
            <v>4312.00.CC.0 HMU</v>
          </cell>
          <cell r="EW94">
            <v>4266.82</v>
          </cell>
          <cell r="EX94">
            <v>260</v>
          </cell>
        </row>
        <row r="95">
          <cell r="N95"/>
          <cell r="O95"/>
          <cell r="P95"/>
          <cell r="Q95"/>
          <cell r="R95"/>
          <cell r="S95"/>
          <cell r="T95"/>
          <cell r="U95"/>
          <cell r="V95"/>
          <cell r="W95"/>
          <cell r="X95"/>
          <cell r="Y95"/>
          <cell r="Z95"/>
          <cell r="AA95"/>
          <cell r="AB95"/>
          <cell r="AC95"/>
          <cell r="AD95"/>
          <cell r="AE95"/>
          <cell r="AF95"/>
          <cell r="AG95"/>
          <cell r="AH95"/>
          <cell r="AI95"/>
          <cell r="AJ95"/>
          <cell r="AK95"/>
          <cell r="AL95"/>
          <cell r="AM95"/>
          <cell r="AN95"/>
          <cell r="AO95"/>
          <cell r="AP95"/>
          <cell r="AQ95"/>
          <cell r="AR95"/>
          <cell r="AS95"/>
          <cell r="AT95"/>
          <cell r="AU95"/>
          <cell r="AV95"/>
          <cell r="AW95"/>
          <cell r="AX95"/>
          <cell r="AY95"/>
          <cell r="AZ95"/>
          <cell r="BA95"/>
          <cell r="BB95"/>
          <cell r="BC95"/>
          <cell r="BD95"/>
          <cell r="BE95"/>
          <cell r="BF95"/>
          <cell r="BG95"/>
          <cell r="BH95"/>
          <cell r="BI95"/>
          <cell r="BJ95"/>
          <cell r="BK95"/>
          <cell r="BL95"/>
          <cell r="BM95"/>
          <cell r="BN95"/>
          <cell r="BO95"/>
          <cell r="BP95"/>
          <cell r="BQ95"/>
          <cell r="BR95"/>
          <cell r="BS95"/>
          <cell r="BT95"/>
          <cell r="BU95"/>
          <cell r="BV95"/>
          <cell r="BW95"/>
          <cell r="BX95"/>
          <cell r="BY95"/>
          <cell r="BZ95"/>
          <cell r="CA95"/>
          <cell r="CB95"/>
          <cell r="CC95"/>
          <cell r="CD95"/>
          <cell r="CE95"/>
          <cell r="CF95"/>
          <cell r="CG95"/>
          <cell r="CH95"/>
          <cell r="CI95"/>
          <cell r="CJ95"/>
          <cell r="CK95"/>
          <cell r="CL95"/>
          <cell r="CM95"/>
          <cell r="CN95"/>
          <cell r="CO95"/>
          <cell r="CP95"/>
          <cell r="CQ95"/>
          <cell r="CR95"/>
          <cell r="CS95"/>
          <cell r="CT95"/>
          <cell r="CU95"/>
          <cell r="CV95"/>
          <cell r="CW95"/>
          <cell r="CX95"/>
          <cell r="CY95"/>
          <cell r="CZ95"/>
          <cell r="DA95"/>
          <cell r="DB95"/>
          <cell r="DC95"/>
          <cell r="DD95"/>
          <cell r="DE95"/>
          <cell r="DF95"/>
          <cell r="DG95"/>
          <cell r="DH95"/>
          <cell r="DI95"/>
          <cell r="DJ95"/>
          <cell r="DK95"/>
          <cell r="DL95"/>
          <cell r="DM95"/>
          <cell r="DN95"/>
          <cell r="DO95"/>
          <cell r="DP95"/>
          <cell r="DQ95"/>
          <cell r="DR95"/>
          <cell r="DS95"/>
          <cell r="DT95"/>
          <cell r="DU95"/>
          <cell r="DV95"/>
          <cell r="DW95"/>
          <cell r="DX95"/>
          <cell r="ED95"/>
          <cell r="ES95" t="str">
            <v>785C-APX4331.LF.CC.0 STEERING ACCUMULATOR</v>
          </cell>
          <cell r="ET95" t="str">
            <v>785C-APX</v>
          </cell>
          <cell r="EV95" t="str">
            <v>4331.LF.CC.0 STEERING ACCUMULATOR</v>
          </cell>
          <cell r="EW95">
            <v>1687.9</v>
          </cell>
          <cell r="EX95">
            <v>195</v>
          </cell>
        </row>
        <row r="96">
          <cell r="N96"/>
          <cell r="O96"/>
          <cell r="P96"/>
          <cell r="Q96"/>
          <cell r="R96"/>
          <cell r="S96"/>
          <cell r="T96"/>
          <cell r="U96"/>
          <cell r="V96"/>
          <cell r="W96"/>
          <cell r="X96"/>
          <cell r="Y96"/>
          <cell r="Z96"/>
          <cell r="AA96"/>
          <cell r="AB96"/>
          <cell r="AC96"/>
          <cell r="AD96"/>
          <cell r="AE96"/>
          <cell r="AF96"/>
          <cell r="AG96"/>
          <cell r="AH96"/>
          <cell r="AI96"/>
          <cell r="AJ96"/>
          <cell r="AK96"/>
          <cell r="AL96"/>
          <cell r="AM96"/>
          <cell r="AN96"/>
          <cell r="AO96"/>
          <cell r="AP96"/>
          <cell r="AQ96"/>
          <cell r="AR96"/>
          <cell r="AS96"/>
          <cell r="AT96"/>
          <cell r="AU96"/>
          <cell r="AV96"/>
          <cell r="AW96"/>
          <cell r="AX96"/>
          <cell r="AY96"/>
          <cell r="AZ96"/>
          <cell r="BA96"/>
          <cell r="BB96"/>
          <cell r="BC96"/>
          <cell r="BD96"/>
          <cell r="BE96"/>
          <cell r="BF96"/>
          <cell r="BG96"/>
          <cell r="BH96"/>
          <cell r="BI96"/>
          <cell r="BJ96"/>
          <cell r="BK96"/>
          <cell r="BL96"/>
          <cell r="BM96"/>
          <cell r="BN96"/>
          <cell r="BO96"/>
          <cell r="BP96"/>
          <cell r="BQ96"/>
          <cell r="BR96"/>
          <cell r="BS96"/>
          <cell r="BT96"/>
          <cell r="BU96"/>
          <cell r="BV96"/>
          <cell r="BW96"/>
          <cell r="BX96"/>
          <cell r="BY96"/>
          <cell r="BZ96"/>
          <cell r="CA96"/>
          <cell r="CB96"/>
          <cell r="CC96"/>
          <cell r="CD96"/>
          <cell r="CE96"/>
          <cell r="CF96"/>
          <cell r="CG96"/>
          <cell r="CH96"/>
          <cell r="CI96"/>
          <cell r="CJ96"/>
          <cell r="CK96"/>
          <cell r="CL96"/>
          <cell r="CM96"/>
          <cell r="CN96"/>
          <cell r="CO96"/>
          <cell r="CP96"/>
          <cell r="CQ96"/>
          <cell r="CR96"/>
          <cell r="CS96"/>
          <cell r="CT96"/>
          <cell r="CU96"/>
          <cell r="CV96"/>
          <cell r="CW96"/>
          <cell r="CX96"/>
          <cell r="CY96"/>
          <cell r="CZ96"/>
          <cell r="DA96"/>
          <cell r="DB96"/>
          <cell r="DC96"/>
          <cell r="DD96"/>
          <cell r="DE96"/>
          <cell r="DF96"/>
          <cell r="DG96"/>
          <cell r="DH96"/>
          <cell r="DI96"/>
          <cell r="DJ96"/>
          <cell r="DK96"/>
          <cell r="DL96"/>
          <cell r="DM96"/>
          <cell r="DN96"/>
          <cell r="DO96"/>
          <cell r="DP96"/>
          <cell r="DQ96"/>
          <cell r="DR96"/>
          <cell r="DS96"/>
          <cell r="DT96"/>
          <cell r="DU96"/>
          <cell r="DV96"/>
          <cell r="DW96"/>
          <cell r="DX96"/>
          <cell r="ED96"/>
          <cell r="ES96" t="str">
            <v>785C-APX4331.RF.CC.0 STEERING ACCUMULATOR</v>
          </cell>
          <cell r="ET96" t="str">
            <v>785C-APX</v>
          </cell>
          <cell r="EV96" t="str">
            <v>4331.RF.CC.0 STEERING ACCUMULATOR</v>
          </cell>
          <cell r="EW96">
            <v>1687.9</v>
          </cell>
          <cell r="EX96">
            <v>195</v>
          </cell>
        </row>
        <row r="97">
          <cell r="N97"/>
          <cell r="O97"/>
          <cell r="P97"/>
          <cell r="Q97"/>
          <cell r="R97"/>
          <cell r="S97"/>
          <cell r="T97"/>
          <cell r="U97"/>
          <cell r="V97"/>
          <cell r="W97"/>
          <cell r="X97"/>
          <cell r="Y97"/>
          <cell r="Z97"/>
          <cell r="AA97"/>
          <cell r="AB97"/>
          <cell r="AC97"/>
          <cell r="AD97"/>
          <cell r="AE97"/>
          <cell r="AF97"/>
          <cell r="AG97"/>
          <cell r="AH97"/>
          <cell r="AI97"/>
          <cell r="AJ97"/>
          <cell r="AK97"/>
          <cell r="AL97"/>
          <cell r="AM97"/>
          <cell r="AN97"/>
          <cell r="AO97"/>
          <cell r="AP97"/>
          <cell r="AQ97"/>
          <cell r="AR97"/>
          <cell r="AS97"/>
          <cell r="AT97"/>
          <cell r="AU97"/>
          <cell r="AV97"/>
          <cell r="AW97"/>
          <cell r="AX97"/>
          <cell r="AY97"/>
          <cell r="AZ97"/>
          <cell r="BA97"/>
          <cell r="BB97"/>
          <cell r="BC97"/>
          <cell r="BD97"/>
          <cell r="BE97"/>
          <cell r="BF97"/>
          <cell r="BG97"/>
          <cell r="BH97"/>
          <cell r="BI97"/>
          <cell r="BJ97"/>
          <cell r="BK97"/>
          <cell r="BL97"/>
          <cell r="BM97"/>
          <cell r="BN97"/>
          <cell r="BO97"/>
          <cell r="BP97"/>
          <cell r="BQ97"/>
          <cell r="BR97"/>
          <cell r="BS97"/>
          <cell r="BT97"/>
          <cell r="BU97"/>
          <cell r="BV97"/>
          <cell r="BW97"/>
          <cell r="BX97"/>
          <cell r="BY97"/>
          <cell r="BZ97"/>
          <cell r="CA97"/>
          <cell r="CB97"/>
          <cell r="CC97"/>
          <cell r="CD97"/>
          <cell r="CE97"/>
          <cell r="CF97"/>
          <cell r="CG97"/>
          <cell r="CH97"/>
          <cell r="CI97"/>
          <cell r="CJ97"/>
          <cell r="CK97"/>
          <cell r="CL97"/>
          <cell r="CM97"/>
          <cell r="CN97"/>
          <cell r="CO97"/>
          <cell r="CP97"/>
          <cell r="CQ97"/>
          <cell r="CR97"/>
          <cell r="CS97"/>
          <cell r="CT97"/>
          <cell r="CU97"/>
          <cell r="CV97"/>
          <cell r="CW97"/>
          <cell r="CX97"/>
          <cell r="CY97"/>
          <cell r="CZ97"/>
          <cell r="DA97"/>
          <cell r="DB97"/>
          <cell r="DC97"/>
          <cell r="DD97"/>
          <cell r="DE97"/>
          <cell r="DF97"/>
          <cell r="DG97"/>
          <cell r="DH97"/>
          <cell r="DI97"/>
          <cell r="DJ97"/>
          <cell r="DK97"/>
          <cell r="DL97"/>
          <cell r="DM97"/>
          <cell r="DN97"/>
          <cell r="DO97"/>
          <cell r="DP97"/>
          <cell r="DQ97"/>
          <cell r="DR97"/>
          <cell r="DS97"/>
          <cell r="DT97"/>
          <cell r="DU97"/>
          <cell r="DV97"/>
          <cell r="DW97"/>
          <cell r="DX97"/>
          <cell r="ED97"/>
          <cell r="ES97" t="str">
            <v>785C-APX4332.00.CC.0 STEERING HYDRAULIC TANK</v>
          </cell>
          <cell r="ET97" t="str">
            <v>785C-APX</v>
          </cell>
          <cell r="EV97" t="str">
            <v>4332.00.CC.0 STEERING HYDRAULIC TANK</v>
          </cell>
          <cell r="EW97">
            <v>354.01</v>
          </cell>
          <cell r="EX97">
            <v>195</v>
          </cell>
        </row>
        <row r="98">
          <cell r="N98"/>
          <cell r="O98"/>
          <cell r="P98"/>
          <cell r="Q98"/>
          <cell r="R98"/>
          <cell r="S98"/>
          <cell r="T98"/>
          <cell r="U98"/>
          <cell r="V98"/>
          <cell r="W98"/>
          <cell r="X98"/>
          <cell r="Y98"/>
          <cell r="Z98"/>
          <cell r="AA98"/>
          <cell r="AB98"/>
          <cell r="AC98"/>
          <cell r="AD98"/>
          <cell r="AE98"/>
          <cell r="AF98"/>
          <cell r="AG98"/>
          <cell r="AH98"/>
          <cell r="AI98"/>
          <cell r="AJ98"/>
          <cell r="AK98"/>
          <cell r="AL98"/>
          <cell r="AM98"/>
          <cell r="AN98"/>
          <cell r="AO98"/>
          <cell r="AP98"/>
          <cell r="AQ98"/>
          <cell r="AR98"/>
          <cell r="AS98"/>
          <cell r="AT98"/>
          <cell r="AU98"/>
          <cell r="AV98"/>
          <cell r="AW98"/>
          <cell r="AX98"/>
          <cell r="AY98"/>
          <cell r="AZ98"/>
          <cell r="BA98"/>
          <cell r="BB98"/>
          <cell r="BC98"/>
          <cell r="BD98"/>
          <cell r="BE98"/>
          <cell r="BF98"/>
          <cell r="BG98"/>
          <cell r="BH98"/>
          <cell r="BI98"/>
          <cell r="BJ98"/>
          <cell r="BK98"/>
          <cell r="BL98"/>
          <cell r="BM98"/>
          <cell r="BN98"/>
          <cell r="BO98"/>
          <cell r="BP98"/>
          <cell r="BQ98"/>
          <cell r="BR98"/>
          <cell r="BS98"/>
          <cell r="BT98"/>
          <cell r="BU98"/>
          <cell r="BV98"/>
          <cell r="BW98"/>
          <cell r="BX98"/>
          <cell r="BY98"/>
          <cell r="BZ98"/>
          <cell r="CA98"/>
          <cell r="CB98"/>
          <cell r="CC98"/>
          <cell r="CD98"/>
          <cell r="CE98"/>
          <cell r="CF98"/>
          <cell r="CG98"/>
          <cell r="CH98"/>
          <cell r="CI98"/>
          <cell r="CJ98"/>
          <cell r="CK98"/>
          <cell r="CL98"/>
          <cell r="CM98"/>
          <cell r="CN98"/>
          <cell r="CO98"/>
          <cell r="CP98"/>
          <cell r="CQ98"/>
          <cell r="CR98"/>
          <cell r="CS98"/>
          <cell r="CT98"/>
          <cell r="CU98"/>
          <cell r="CV98"/>
          <cell r="CW98"/>
          <cell r="CX98"/>
          <cell r="CY98"/>
          <cell r="CZ98"/>
          <cell r="DA98"/>
          <cell r="DB98"/>
          <cell r="DC98"/>
          <cell r="DD98"/>
          <cell r="DE98"/>
          <cell r="DF98"/>
          <cell r="DG98"/>
          <cell r="DH98"/>
          <cell r="DI98"/>
          <cell r="DJ98"/>
          <cell r="DK98"/>
          <cell r="DL98"/>
          <cell r="DM98"/>
          <cell r="DN98"/>
          <cell r="DO98"/>
          <cell r="DP98"/>
          <cell r="DQ98"/>
          <cell r="DR98"/>
          <cell r="DS98"/>
          <cell r="DT98"/>
          <cell r="DU98"/>
          <cell r="DV98"/>
          <cell r="DW98"/>
          <cell r="DX98"/>
          <cell r="ED98"/>
          <cell r="ES98" t="str">
            <v>785C-APX4354.00.CC.0 BRAKE RELEASE PUMP</v>
          </cell>
          <cell r="ET98" t="str">
            <v>785C-APX</v>
          </cell>
          <cell r="EV98" t="str">
            <v>4354.00.CC.0 BRAKE RELEASE PUMP</v>
          </cell>
          <cell r="EW98">
            <v>1678.73</v>
          </cell>
          <cell r="EX98">
            <v>32.5</v>
          </cell>
        </row>
        <row r="99">
          <cell r="N99"/>
          <cell r="O99"/>
          <cell r="P99"/>
          <cell r="Q99"/>
          <cell r="R99"/>
          <cell r="S99"/>
          <cell r="T99"/>
          <cell r="U99"/>
          <cell r="V99"/>
          <cell r="W99"/>
          <cell r="X99"/>
          <cell r="Y99"/>
          <cell r="Z99"/>
          <cell r="AA99"/>
          <cell r="AB99"/>
          <cell r="AC99"/>
          <cell r="AD99"/>
          <cell r="AE99"/>
          <cell r="AF99"/>
          <cell r="AG99"/>
          <cell r="AH99"/>
          <cell r="AI99"/>
          <cell r="AJ99"/>
          <cell r="AK99"/>
          <cell r="AL99"/>
          <cell r="AM99"/>
          <cell r="AN99"/>
          <cell r="AO99"/>
          <cell r="AP99"/>
          <cell r="AQ99"/>
          <cell r="AR99"/>
          <cell r="AS99"/>
          <cell r="AT99"/>
          <cell r="AU99"/>
          <cell r="AV99"/>
          <cell r="AW99"/>
          <cell r="AX99"/>
          <cell r="AY99"/>
          <cell r="AZ99"/>
          <cell r="BA99"/>
          <cell r="BB99"/>
          <cell r="BC99"/>
          <cell r="BD99"/>
          <cell r="BE99"/>
          <cell r="BF99"/>
          <cell r="BG99"/>
          <cell r="BH99"/>
          <cell r="BI99"/>
          <cell r="BJ99"/>
          <cell r="BK99"/>
          <cell r="BL99"/>
          <cell r="BM99"/>
          <cell r="BN99"/>
          <cell r="BO99"/>
          <cell r="BP99"/>
          <cell r="BQ99"/>
          <cell r="BR99"/>
          <cell r="BS99"/>
          <cell r="BT99"/>
          <cell r="BU99"/>
          <cell r="BV99"/>
          <cell r="BW99"/>
          <cell r="BX99"/>
          <cell r="BY99"/>
          <cell r="BZ99"/>
          <cell r="CA99"/>
          <cell r="CB99"/>
          <cell r="CC99"/>
          <cell r="CD99"/>
          <cell r="CE99"/>
          <cell r="CF99"/>
          <cell r="CG99"/>
          <cell r="CH99"/>
          <cell r="CI99"/>
          <cell r="CJ99"/>
          <cell r="CK99"/>
          <cell r="CL99"/>
          <cell r="CM99"/>
          <cell r="CN99"/>
          <cell r="CO99"/>
          <cell r="CP99"/>
          <cell r="CQ99"/>
          <cell r="CR99"/>
          <cell r="CS99"/>
          <cell r="CT99"/>
          <cell r="CU99"/>
          <cell r="CV99"/>
          <cell r="CW99"/>
          <cell r="CX99"/>
          <cell r="CY99"/>
          <cell r="CZ99"/>
          <cell r="DA99"/>
          <cell r="DB99"/>
          <cell r="DC99"/>
          <cell r="DD99"/>
          <cell r="DE99"/>
          <cell r="DF99"/>
          <cell r="DG99"/>
          <cell r="DH99"/>
          <cell r="DI99"/>
          <cell r="DJ99"/>
          <cell r="DK99"/>
          <cell r="DL99"/>
          <cell r="DM99"/>
          <cell r="DN99"/>
          <cell r="DO99"/>
          <cell r="DP99"/>
          <cell r="DQ99"/>
          <cell r="DR99"/>
          <cell r="DS99"/>
          <cell r="DT99"/>
          <cell r="DU99"/>
          <cell r="DV99"/>
          <cell r="DW99"/>
          <cell r="DX99"/>
          <cell r="ED99"/>
          <cell r="ES99" t="str">
            <v>785C-APX5050.00.GR.0 HYDRAULIC SYSTEM</v>
          </cell>
          <cell r="ET99" t="str">
            <v>785C-APX</v>
          </cell>
          <cell r="EV99" t="str">
            <v>5050.00.GR.0 HYDRAULIC SYSTEM</v>
          </cell>
          <cell r="EW99">
            <v>230.5</v>
          </cell>
          <cell r="EX99">
            <v>780</v>
          </cell>
        </row>
        <row r="100">
          <cell r="N100"/>
          <cell r="O100"/>
          <cell r="P100"/>
          <cell r="Q100"/>
          <cell r="R100"/>
          <cell r="S100"/>
          <cell r="T100"/>
          <cell r="U100"/>
          <cell r="V100"/>
          <cell r="W100"/>
          <cell r="X100"/>
          <cell r="Y100"/>
          <cell r="Z100"/>
          <cell r="AA100"/>
          <cell r="AB100"/>
          <cell r="AC100"/>
          <cell r="AD100"/>
          <cell r="AE100"/>
          <cell r="AF100"/>
          <cell r="AG100"/>
          <cell r="AH100"/>
          <cell r="AI100"/>
          <cell r="AJ100"/>
          <cell r="AK100"/>
          <cell r="AL100"/>
          <cell r="AM100"/>
          <cell r="AN100"/>
          <cell r="AO100"/>
          <cell r="AP100"/>
          <cell r="AQ100"/>
          <cell r="AR100"/>
          <cell r="AS100"/>
          <cell r="AT100"/>
          <cell r="AU100"/>
          <cell r="AV100"/>
          <cell r="AW100"/>
          <cell r="AX100"/>
          <cell r="AY100"/>
          <cell r="AZ100"/>
          <cell r="BA100"/>
          <cell r="BB100"/>
          <cell r="BC100"/>
          <cell r="BD100"/>
          <cell r="BE100"/>
          <cell r="BF100"/>
          <cell r="BG100"/>
          <cell r="BH100"/>
          <cell r="BI100"/>
          <cell r="BJ100"/>
          <cell r="BK100"/>
          <cell r="BL100"/>
          <cell r="BM100"/>
          <cell r="BN100"/>
          <cell r="BO100"/>
          <cell r="BP100"/>
          <cell r="BQ100"/>
          <cell r="BR100"/>
          <cell r="BS100"/>
          <cell r="BT100"/>
          <cell r="BU100"/>
          <cell r="BV100"/>
          <cell r="BW100"/>
          <cell r="BX100"/>
          <cell r="BY100"/>
          <cell r="BZ100"/>
          <cell r="CA100"/>
          <cell r="CB100"/>
          <cell r="CC100"/>
          <cell r="CD100"/>
          <cell r="CE100"/>
          <cell r="CF100"/>
          <cell r="CG100"/>
          <cell r="CH100"/>
          <cell r="CI100"/>
          <cell r="CJ100"/>
          <cell r="CK100"/>
          <cell r="CL100"/>
          <cell r="CM100"/>
          <cell r="CN100"/>
          <cell r="CO100"/>
          <cell r="CP100"/>
          <cell r="CQ100"/>
          <cell r="CR100"/>
          <cell r="CS100"/>
          <cell r="CT100"/>
          <cell r="CU100"/>
          <cell r="CV100"/>
          <cell r="CW100"/>
          <cell r="CX100"/>
          <cell r="CY100"/>
          <cell r="CZ100"/>
          <cell r="DA100"/>
          <cell r="DB100"/>
          <cell r="DC100"/>
          <cell r="DD100"/>
          <cell r="DE100"/>
          <cell r="DF100"/>
          <cell r="DG100"/>
          <cell r="DH100"/>
          <cell r="DI100"/>
          <cell r="DJ100"/>
          <cell r="DK100"/>
          <cell r="DL100"/>
          <cell r="DM100"/>
          <cell r="DN100"/>
          <cell r="DO100"/>
          <cell r="DP100"/>
          <cell r="DQ100"/>
          <cell r="DR100"/>
          <cell r="DS100"/>
          <cell r="DT100"/>
          <cell r="DU100"/>
          <cell r="DV100"/>
          <cell r="DW100"/>
          <cell r="DX100"/>
          <cell r="ED100"/>
          <cell r="ES100" t="str">
            <v>785C-APX5051.00.CC.0 HYDRAULIC CONTROL VALVE</v>
          </cell>
          <cell r="ET100" t="str">
            <v>785C-APX</v>
          </cell>
          <cell r="EV100" t="str">
            <v>5051.00.CC.0 HYDRAULIC CONTROL VALVE</v>
          </cell>
          <cell r="EW100">
            <v>1279.2149999999999</v>
          </cell>
          <cell r="EX100">
            <v>780</v>
          </cell>
        </row>
        <row r="101">
          <cell r="N101"/>
          <cell r="O101"/>
          <cell r="P101"/>
          <cell r="Q101"/>
          <cell r="R101"/>
          <cell r="S101"/>
          <cell r="T101"/>
          <cell r="U101"/>
          <cell r="V101"/>
          <cell r="W101"/>
          <cell r="X101"/>
          <cell r="Y101"/>
          <cell r="Z101"/>
          <cell r="AA101"/>
          <cell r="AB101"/>
          <cell r="AC101"/>
          <cell r="AD101"/>
          <cell r="AE101"/>
          <cell r="AF101"/>
          <cell r="AG101"/>
          <cell r="AH101"/>
          <cell r="AI101"/>
          <cell r="AJ101"/>
          <cell r="AK101"/>
          <cell r="AL101"/>
          <cell r="AM101"/>
          <cell r="AN101"/>
          <cell r="AO101"/>
          <cell r="AP101"/>
          <cell r="AQ101"/>
          <cell r="AR101"/>
          <cell r="AS101"/>
          <cell r="AT101"/>
          <cell r="AU101"/>
          <cell r="AV101"/>
          <cell r="AW101"/>
          <cell r="AX101"/>
          <cell r="AY101"/>
          <cell r="AZ101"/>
          <cell r="BA101"/>
          <cell r="BB101"/>
          <cell r="BC101"/>
          <cell r="BD101"/>
          <cell r="BE101"/>
          <cell r="BF101"/>
          <cell r="BG101"/>
          <cell r="BH101"/>
          <cell r="BI101"/>
          <cell r="BJ101"/>
          <cell r="BK101"/>
          <cell r="BL101"/>
          <cell r="BM101"/>
          <cell r="BN101"/>
          <cell r="BO101"/>
          <cell r="BP101"/>
          <cell r="BQ101"/>
          <cell r="BR101"/>
          <cell r="BS101"/>
          <cell r="BT101"/>
          <cell r="BU101"/>
          <cell r="BV101"/>
          <cell r="BW101"/>
          <cell r="BX101"/>
          <cell r="BY101"/>
          <cell r="BZ101"/>
          <cell r="CA101"/>
          <cell r="CB101"/>
          <cell r="CC101"/>
          <cell r="CD101"/>
          <cell r="CE101"/>
          <cell r="CF101"/>
          <cell r="CG101"/>
          <cell r="CH101"/>
          <cell r="CI101"/>
          <cell r="CJ101"/>
          <cell r="CK101"/>
          <cell r="CL101"/>
          <cell r="CM101"/>
          <cell r="CN101"/>
          <cell r="CO101"/>
          <cell r="CP101"/>
          <cell r="CQ101"/>
          <cell r="CR101"/>
          <cell r="CS101"/>
          <cell r="CT101"/>
          <cell r="CU101"/>
          <cell r="CV101"/>
          <cell r="CW101"/>
          <cell r="CX101"/>
          <cell r="CY101"/>
          <cell r="CZ101"/>
          <cell r="DA101"/>
          <cell r="DB101"/>
          <cell r="DC101"/>
          <cell r="DD101"/>
          <cell r="DE101"/>
          <cell r="DF101"/>
          <cell r="DG101"/>
          <cell r="DH101"/>
          <cell r="DI101"/>
          <cell r="DJ101"/>
          <cell r="DK101"/>
          <cell r="DL101"/>
          <cell r="DM101"/>
          <cell r="DN101"/>
          <cell r="DO101"/>
          <cell r="DP101"/>
          <cell r="DQ101"/>
          <cell r="DR101"/>
          <cell r="DS101"/>
          <cell r="DT101"/>
          <cell r="DU101"/>
          <cell r="DV101"/>
          <cell r="DW101"/>
          <cell r="DX101"/>
          <cell r="ED101"/>
          <cell r="ES101" t="str">
            <v>785C-APX5056.00.CC.0 HYDRAULIC TANK</v>
          </cell>
          <cell r="ET101" t="str">
            <v>785C-APX</v>
          </cell>
          <cell r="EV101" t="str">
            <v>5056.00.CC.0 HYDRAULIC TANK</v>
          </cell>
          <cell r="EW101">
            <v>1520.6265000000001</v>
          </cell>
          <cell r="EX101">
            <v>260</v>
          </cell>
        </row>
        <row r="102">
          <cell r="N102"/>
          <cell r="O102"/>
          <cell r="P102"/>
          <cell r="Q102"/>
          <cell r="R102"/>
          <cell r="S102"/>
          <cell r="T102"/>
          <cell r="U102"/>
          <cell r="V102"/>
          <cell r="W102"/>
          <cell r="X102"/>
          <cell r="Y102"/>
          <cell r="Z102"/>
          <cell r="AA102"/>
          <cell r="AB102"/>
          <cell r="AC102"/>
          <cell r="AD102"/>
          <cell r="AE102"/>
          <cell r="AF102"/>
          <cell r="AG102"/>
          <cell r="AH102"/>
          <cell r="AI102"/>
          <cell r="AJ102"/>
          <cell r="AK102"/>
          <cell r="AL102"/>
          <cell r="AM102"/>
          <cell r="AN102"/>
          <cell r="AO102"/>
          <cell r="AP102"/>
          <cell r="AQ102"/>
          <cell r="AR102"/>
          <cell r="AS102"/>
          <cell r="AT102"/>
          <cell r="AU102"/>
          <cell r="AV102"/>
          <cell r="AW102"/>
          <cell r="AX102"/>
          <cell r="AY102"/>
          <cell r="AZ102"/>
          <cell r="BA102"/>
          <cell r="BB102"/>
          <cell r="BC102"/>
          <cell r="BD102"/>
          <cell r="BE102"/>
          <cell r="BF102"/>
          <cell r="BG102"/>
          <cell r="BH102"/>
          <cell r="BI102"/>
          <cell r="BJ102"/>
          <cell r="BK102"/>
          <cell r="BL102"/>
          <cell r="BM102"/>
          <cell r="BN102"/>
          <cell r="BO102"/>
          <cell r="BP102"/>
          <cell r="BQ102"/>
          <cell r="BR102"/>
          <cell r="BS102"/>
          <cell r="BT102"/>
          <cell r="BU102"/>
          <cell r="BV102"/>
          <cell r="BW102"/>
          <cell r="BX102"/>
          <cell r="BY102"/>
          <cell r="BZ102"/>
          <cell r="CA102"/>
          <cell r="CB102"/>
          <cell r="CC102"/>
          <cell r="CD102"/>
          <cell r="CE102"/>
          <cell r="CF102"/>
          <cell r="CG102"/>
          <cell r="CH102"/>
          <cell r="CI102"/>
          <cell r="CJ102"/>
          <cell r="CK102"/>
          <cell r="CL102"/>
          <cell r="CM102"/>
          <cell r="CN102"/>
          <cell r="CO102"/>
          <cell r="CP102"/>
          <cell r="CQ102"/>
          <cell r="CR102"/>
          <cell r="CS102"/>
          <cell r="CT102"/>
          <cell r="CU102"/>
          <cell r="CV102"/>
          <cell r="CW102"/>
          <cell r="CX102"/>
          <cell r="CY102"/>
          <cell r="CZ102"/>
          <cell r="DA102"/>
          <cell r="DB102"/>
          <cell r="DC102"/>
          <cell r="DD102"/>
          <cell r="DE102"/>
          <cell r="DF102"/>
          <cell r="DG102"/>
          <cell r="DH102"/>
          <cell r="DI102"/>
          <cell r="DJ102"/>
          <cell r="DK102"/>
          <cell r="DL102"/>
          <cell r="DM102"/>
          <cell r="DN102"/>
          <cell r="DO102"/>
          <cell r="DP102"/>
          <cell r="DQ102"/>
          <cell r="DR102"/>
          <cell r="DS102"/>
          <cell r="DT102"/>
          <cell r="DU102"/>
          <cell r="DV102"/>
          <cell r="DW102"/>
          <cell r="DX102"/>
          <cell r="ED102"/>
          <cell r="ES102" t="str">
            <v>785C-APX5057.00.CC.0 HYDRAULIC HOSE/LINES</v>
          </cell>
          <cell r="ET102" t="str">
            <v>785C-APX</v>
          </cell>
          <cell r="EV102" t="str">
            <v>5057.00.CC.0 HYDRAULIC HOSE/LINES</v>
          </cell>
          <cell r="EW102">
            <v>9693.4609999999993</v>
          </cell>
          <cell r="EX102">
            <v>1170</v>
          </cell>
        </row>
        <row r="103">
          <cell r="N103"/>
          <cell r="O103"/>
          <cell r="P103"/>
          <cell r="Q103"/>
          <cell r="R103"/>
          <cell r="S103"/>
          <cell r="T103"/>
          <cell r="U103"/>
          <cell r="V103"/>
          <cell r="W103"/>
          <cell r="X103"/>
          <cell r="Y103"/>
          <cell r="Z103"/>
          <cell r="AA103"/>
          <cell r="AB103"/>
          <cell r="AC103"/>
          <cell r="AD103"/>
          <cell r="AE103"/>
          <cell r="AF103"/>
          <cell r="AG103"/>
          <cell r="AH103"/>
          <cell r="AI103"/>
          <cell r="AJ103"/>
          <cell r="AK103"/>
          <cell r="AL103"/>
          <cell r="AM103"/>
          <cell r="AN103"/>
          <cell r="AO103"/>
          <cell r="AP103"/>
          <cell r="AQ103"/>
          <cell r="AR103"/>
          <cell r="AS103"/>
          <cell r="AT103"/>
          <cell r="AU103"/>
          <cell r="AV103"/>
          <cell r="AW103"/>
          <cell r="AX103"/>
          <cell r="AY103"/>
          <cell r="AZ103"/>
          <cell r="BA103"/>
          <cell r="BB103"/>
          <cell r="BC103"/>
          <cell r="BD103"/>
          <cell r="BE103"/>
          <cell r="BF103"/>
          <cell r="BG103"/>
          <cell r="BH103"/>
          <cell r="BI103"/>
          <cell r="BJ103"/>
          <cell r="BK103"/>
          <cell r="BL103"/>
          <cell r="BM103"/>
          <cell r="BN103"/>
          <cell r="BO103"/>
          <cell r="BP103"/>
          <cell r="BQ103"/>
          <cell r="BR103"/>
          <cell r="BS103"/>
          <cell r="BT103"/>
          <cell r="BU103"/>
          <cell r="BV103"/>
          <cell r="BW103"/>
          <cell r="BX103"/>
          <cell r="BY103"/>
          <cell r="BZ103"/>
          <cell r="CA103"/>
          <cell r="CB103"/>
          <cell r="CC103"/>
          <cell r="CD103"/>
          <cell r="CE103"/>
          <cell r="CF103"/>
          <cell r="CG103"/>
          <cell r="CH103"/>
          <cell r="CI103"/>
          <cell r="CJ103"/>
          <cell r="CK103"/>
          <cell r="CL103"/>
          <cell r="CM103"/>
          <cell r="CN103"/>
          <cell r="CO103"/>
          <cell r="CP103"/>
          <cell r="CQ103"/>
          <cell r="CR103"/>
          <cell r="CS103"/>
          <cell r="CT103"/>
          <cell r="CU103"/>
          <cell r="CV103"/>
          <cell r="CW103"/>
          <cell r="CX103"/>
          <cell r="CY103"/>
          <cell r="CZ103"/>
          <cell r="DA103"/>
          <cell r="DB103"/>
          <cell r="DC103"/>
          <cell r="DD103"/>
          <cell r="DE103"/>
          <cell r="DF103"/>
          <cell r="DG103"/>
          <cell r="DH103"/>
          <cell r="DI103"/>
          <cell r="DJ103"/>
          <cell r="DK103"/>
          <cell r="DL103"/>
          <cell r="DM103"/>
          <cell r="DN103"/>
          <cell r="DO103"/>
          <cell r="DP103"/>
          <cell r="DQ103"/>
          <cell r="DR103"/>
          <cell r="DS103"/>
          <cell r="DT103"/>
          <cell r="DU103"/>
          <cell r="DV103"/>
          <cell r="DW103"/>
          <cell r="DX103"/>
          <cell r="ED103"/>
          <cell r="ES103" t="str">
            <v>785C-APX5057.HQ.CC.0 HYDRAULIC HOSE/LINES</v>
          </cell>
          <cell r="ET103" t="str">
            <v>785C-APX</v>
          </cell>
          <cell r="EV103" t="str">
            <v>5057.HQ.CC.0 HYDRAULIC HOSE/LINES</v>
          </cell>
          <cell r="EW103">
            <v>2757.0124999999998</v>
          </cell>
          <cell r="EX103">
            <v>390</v>
          </cell>
        </row>
        <row r="104">
          <cell r="N104"/>
          <cell r="O104"/>
          <cell r="P104"/>
          <cell r="Q104"/>
          <cell r="R104"/>
          <cell r="S104"/>
          <cell r="T104"/>
          <cell r="U104"/>
          <cell r="V104"/>
          <cell r="W104"/>
          <cell r="X104"/>
          <cell r="Y104"/>
          <cell r="Z104"/>
          <cell r="AA104"/>
          <cell r="AB104"/>
          <cell r="AC104"/>
          <cell r="AD104"/>
          <cell r="AE104"/>
          <cell r="AF104"/>
          <cell r="AG104"/>
          <cell r="AH104"/>
          <cell r="AI104"/>
          <cell r="AJ104"/>
          <cell r="AK104"/>
          <cell r="AL104"/>
          <cell r="AM104"/>
          <cell r="AN104"/>
          <cell r="AO104"/>
          <cell r="AP104"/>
          <cell r="AQ104"/>
          <cell r="AR104"/>
          <cell r="AS104"/>
          <cell r="AT104"/>
          <cell r="AU104"/>
          <cell r="AV104"/>
          <cell r="AW104"/>
          <cell r="AX104"/>
          <cell r="AY104"/>
          <cell r="AZ104"/>
          <cell r="BA104"/>
          <cell r="BB104"/>
          <cell r="BC104"/>
          <cell r="BD104"/>
          <cell r="BE104"/>
          <cell r="BF104"/>
          <cell r="BG104"/>
          <cell r="BH104"/>
          <cell r="BI104"/>
          <cell r="BJ104"/>
          <cell r="BK104"/>
          <cell r="BL104"/>
          <cell r="BM104"/>
          <cell r="BN104"/>
          <cell r="BO104"/>
          <cell r="BP104"/>
          <cell r="BQ104"/>
          <cell r="BR104"/>
          <cell r="BS104"/>
          <cell r="BT104"/>
          <cell r="BU104"/>
          <cell r="BV104"/>
          <cell r="BW104"/>
          <cell r="BX104"/>
          <cell r="BY104"/>
          <cell r="BZ104"/>
          <cell r="CA104"/>
          <cell r="CB104"/>
          <cell r="CC104"/>
          <cell r="CD104"/>
          <cell r="CE104"/>
          <cell r="CF104"/>
          <cell r="CG104"/>
          <cell r="CH104"/>
          <cell r="CI104"/>
          <cell r="CJ104"/>
          <cell r="CK104"/>
          <cell r="CL104"/>
          <cell r="CM104"/>
          <cell r="CN104"/>
          <cell r="CO104"/>
          <cell r="CP104"/>
          <cell r="CQ104"/>
          <cell r="CR104"/>
          <cell r="CS104"/>
          <cell r="CT104"/>
          <cell r="CU104"/>
          <cell r="CV104"/>
          <cell r="CW104"/>
          <cell r="CX104"/>
          <cell r="CY104"/>
          <cell r="CZ104"/>
          <cell r="DA104"/>
          <cell r="DB104"/>
          <cell r="DC104"/>
          <cell r="DD104"/>
          <cell r="DE104"/>
          <cell r="DF104"/>
          <cell r="DG104"/>
          <cell r="DH104"/>
          <cell r="DI104"/>
          <cell r="DJ104"/>
          <cell r="DK104"/>
          <cell r="DL104"/>
          <cell r="DM104"/>
          <cell r="DN104"/>
          <cell r="DO104"/>
          <cell r="DP104"/>
          <cell r="DQ104"/>
          <cell r="DR104"/>
          <cell r="DS104"/>
          <cell r="DT104"/>
          <cell r="DU104"/>
          <cell r="DV104"/>
          <cell r="DW104"/>
          <cell r="DX104"/>
          <cell r="ED104"/>
          <cell r="ES104" t="str">
            <v>785C-APX5063.00.CC.0 IMPLEMENT CONTROL</v>
          </cell>
          <cell r="ET104" t="str">
            <v>785C-APX</v>
          </cell>
          <cell r="EV104" t="str">
            <v>5063.00.CC.0 IMPLEMENT CONTROL</v>
          </cell>
          <cell r="EW104">
            <v>108.8</v>
          </cell>
          <cell r="EX104">
            <v>195</v>
          </cell>
        </row>
        <row r="105">
          <cell r="N105"/>
          <cell r="O105"/>
          <cell r="P105"/>
          <cell r="Q105"/>
          <cell r="R105"/>
          <cell r="S105"/>
          <cell r="T105"/>
          <cell r="U105"/>
          <cell r="V105"/>
          <cell r="W105"/>
          <cell r="X105"/>
          <cell r="Y105"/>
          <cell r="Z105"/>
          <cell r="AA105"/>
          <cell r="AB105"/>
          <cell r="AC105"/>
          <cell r="AD105"/>
          <cell r="AE105"/>
          <cell r="AF105"/>
          <cell r="AG105"/>
          <cell r="AH105"/>
          <cell r="AI105"/>
          <cell r="AJ105"/>
          <cell r="AK105"/>
          <cell r="AL105"/>
          <cell r="AM105"/>
          <cell r="AN105"/>
          <cell r="AO105"/>
          <cell r="AP105"/>
          <cell r="AQ105"/>
          <cell r="AR105"/>
          <cell r="AS105"/>
          <cell r="AT105"/>
          <cell r="AU105"/>
          <cell r="AV105"/>
          <cell r="AW105"/>
          <cell r="AX105"/>
          <cell r="AY105"/>
          <cell r="AZ105"/>
          <cell r="BA105"/>
          <cell r="BB105"/>
          <cell r="BC105"/>
          <cell r="BD105"/>
          <cell r="BE105"/>
          <cell r="BF105"/>
          <cell r="BG105"/>
          <cell r="BH105"/>
          <cell r="BI105"/>
          <cell r="BJ105"/>
          <cell r="BK105"/>
          <cell r="BL105"/>
          <cell r="BM105"/>
          <cell r="BN105"/>
          <cell r="BO105"/>
          <cell r="BP105"/>
          <cell r="BQ105"/>
          <cell r="BR105"/>
          <cell r="BS105"/>
          <cell r="BT105"/>
          <cell r="BU105"/>
          <cell r="BV105"/>
          <cell r="BW105"/>
          <cell r="BX105"/>
          <cell r="BY105"/>
          <cell r="BZ105"/>
          <cell r="CA105"/>
          <cell r="CB105"/>
          <cell r="CC105"/>
          <cell r="CD105"/>
          <cell r="CE105"/>
          <cell r="CF105"/>
          <cell r="CG105"/>
          <cell r="CH105"/>
          <cell r="CI105"/>
          <cell r="CJ105"/>
          <cell r="CK105"/>
          <cell r="CL105"/>
          <cell r="CM105"/>
          <cell r="CN105"/>
          <cell r="CO105"/>
          <cell r="CP105"/>
          <cell r="CQ105"/>
          <cell r="CR105"/>
          <cell r="CS105"/>
          <cell r="CT105"/>
          <cell r="CU105"/>
          <cell r="CV105"/>
          <cell r="CW105"/>
          <cell r="CX105"/>
          <cell r="CY105"/>
          <cell r="CZ105"/>
          <cell r="DA105"/>
          <cell r="DB105"/>
          <cell r="DC105"/>
          <cell r="DD105"/>
          <cell r="DE105"/>
          <cell r="DF105"/>
          <cell r="DG105"/>
          <cell r="DH105"/>
          <cell r="DI105"/>
          <cell r="DJ105"/>
          <cell r="DK105"/>
          <cell r="DL105"/>
          <cell r="DM105"/>
          <cell r="DN105"/>
          <cell r="DO105"/>
          <cell r="DP105"/>
          <cell r="DQ105"/>
          <cell r="DR105"/>
          <cell r="DS105"/>
          <cell r="DT105"/>
          <cell r="DU105"/>
          <cell r="DV105"/>
          <cell r="DW105"/>
          <cell r="DX105"/>
          <cell r="ED105"/>
          <cell r="ES105" t="str">
            <v>785C-APX5084.00.CC.0 IMPLEMENT PUMP</v>
          </cell>
          <cell r="ET105" t="str">
            <v>785C-APX</v>
          </cell>
          <cell r="EV105" t="str">
            <v>5084.00.CC.0 IMPLEMENT PUMP</v>
          </cell>
          <cell r="EW105">
            <v>5237.2700000000004</v>
          </cell>
          <cell r="EX105">
            <v>325</v>
          </cell>
        </row>
        <row r="106">
          <cell r="N106"/>
          <cell r="O106"/>
          <cell r="P106"/>
          <cell r="Q106"/>
          <cell r="R106"/>
          <cell r="S106"/>
          <cell r="T106"/>
          <cell r="U106"/>
          <cell r="V106"/>
          <cell r="W106"/>
          <cell r="X106"/>
          <cell r="Y106"/>
          <cell r="Z106"/>
          <cell r="AA106"/>
          <cell r="AB106"/>
          <cell r="AC106"/>
          <cell r="AD106"/>
          <cell r="AE106"/>
          <cell r="AF106"/>
          <cell r="AG106"/>
          <cell r="AH106"/>
          <cell r="AI106"/>
          <cell r="AJ106"/>
          <cell r="AK106"/>
          <cell r="AL106"/>
          <cell r="AM106"/>
          <cell r="AN106"/>
          <cell r="AO106"/>
          <cell r="AP106"/>
          <cell r="AQ106"/>
          <cell r="AR106"/>
          <cell r="AS106"/>
          <cell r="AT106"/>
          <cell r="AU106"/>
          <cell r="AV106"/>
          <cell r="AW106"/>
          <cell r="AX106"/>
          <cell r="AY106"/>
          <cell r="AZ106"/>
          <cell r="BA106"/>
          <cell r="BB106"/>
          <cell r="BC106"/>
          <cell r="BD106"/>
          <cell r="BE106"/>
          <cell r="BF106"/>
          <cell r="BG106"/>
          <cell r="BH106"/>
          <cell r="BI106"/>
          <cell r="BJ106"/>
          <cell r="BK106"/>
          <cell r="BL106"/>
          <cell r="BM106"/>
          <cell r="BN106"/>
          <cell r="BO106"/>
          <cell r="BP106"/>
          <cell r="BQ106"/>
          <cell r="BR106"/>
          <cell r="BS106"/>
          <cell r="BT106"/>
          <cell r="BU106"/>
          <cell r="BV106"/>
          <cell r="BW106"/>
          <cell r="BX106"/>
          <cell r="BY106"/>
          <cell r="BZ106"/>
          <cell r="CA106"/>
          <cell r="CB106"/>
          <cell r="CC106"/>
          <cell r="CD106"/>
          <cell r="CE106"/>
          <cell r="CF106"/>
          <cell r="CG106"/>
          <cell r="CH106"/>
          <cell r="CI106"/>
          <cell r="CJ106"/>
          <cell r="CK106"/>
          <cell r="CL106"/>
          <cell r="CM106"/>
          <cell r="CN106"/>
          <cell r="CO106"/>
          <cell r="CP106"/>
          <cell r="CQ106"/>
          <cell r="CR106"/>
          <cell r="CS106"/>
          <cell r="CT106"/>
          <cell r="CU106"/>
          <cell r="CV106"/>
          <cell r="CW106"/>
          <cell r="CX106"/>
          <cell r="CY106"/>
          <cell r="CZ106"/>
          <cell r="DA106"/>
          <cell r="DB106"/>
          <cell r="DC106"/>
          <cell r="DD106"/>
          <cell r="DE106"/>
          <cell r="DF106"/>
          <cell r="DG106"/>
          <cell r="DH106"/>
          <cell r="DI106"/>
          <cell r="DJ106"/>
          <cell r="DK106"/>
          <cell r="DL106"/>
          <cell r="DM106"/>
          <cell r="DN106"/>
          <cell r="DO106"/>
          <cell r="DP106"/>
          <cell r="DQ106"/>
          <cell r="DR106"/>
          <cell r="DS106"/>
          <cell r="DT106"/>
          <cell r="DU106"/>
          <cell r="DV106"/>
          <cell r="DW106"/>
          <cell r="DX106"/>
          <cell r="ED106"/>
          <cell r="ES106" t="str">
            <v>785C-APX5102.LT.CC.0 HOIST CYLINDER</v>
          </cell>
          <cell r="ET106" t="str">
            <v>785C-APX</v>
          </cell>
          <cell r="EV106" t="str">
            <v>5102.LT.CC.0 HOIST CYLINDER</v>
          </cell>
          <cell r="EW106">
            <v>10374.361999999999</v>
          </cell>
          <cell r="EX106">
            <v>780</v>
          </cell>
        </row>
        <row r="107">
          <cell r="N107"/>
          <cell r="O107"/>
          <cell r="P107"/>
          <cell r="Q107"/>
          <cell r="R107"/>
          <cell r="S107"/>
          <cell r="T107"/>
          <cell r="U107"/>
          <cell r="V107"/>
          <cell r="W107"/>
          <cell r="X107"/>
          <cell r="Y107"/>
          <cell r="Z107"/>
          <cell r="AA107"/>
          <cell r="AB107"/>
          <cell r="AC107"/>
          <cell r="AD107"/>
          <cell r="AE107"/>
          <cell r="AF107"/>
          <cell r="AG107"/>
          <cell r="AH107"/>
          <cell r="AI107"/>
          <cell r="AJ107"/>
          <cell r="AK107"/>
          <cell r="AL107"/>
          <cell r="AM107"/>
          <cell r="AN107"/>
          <cell r="AO107"/>
          <cell r="AP107"/>
          <cell r="AQ107"/>
          <cell r="AR107"/>
          <cell r="AS107"/>
          <cell r="AT107"/>
          <cell r="AU107"/>
          <cell r="AV107"/>
          <cell r="AW107"/>
          <cell r="AX107"/>
          <cell r="AY107"/>
          <cell r="AZ107"/>
          <cell r="BA107"/>
          <cell r="BB107"/>
          <cell r="BC107"/>
          <cell r="BD107"/>
          <cell r="BE107"/>
          <cell r="BF107"/>
          <cell r="BG107"/>
          <cell r="BH107"/>
          <cell r="BI107"/>
          <cell r="BJ107"/>
          <cell r="BK107"/>
          <cell r="BL107"/>
          <cell r="BM107"/>
          <cell r="BN107"/>
          <cell r="BO107"/>
          <cell r="BP107"/>
          <cell r="BQ107"/>
          <cell r="BR107"/>
          <cell r="BS107"/>
          <cell r="BT107"/>
          <cell r="BU107"/>
          <cell r="BV107"/>
          <cell r="BW107"/>
          <cell r="BX107"/>
          <cell r="BY107"/>
          <cell r="BZ107"/>
          <cell r="CA107"/>
          <cell r="CB107"/>
          <cell r="CC107"/>
          <cell r="CD107"/>
          <cell r="CE107"/>
          <cell r="CF107"/>
          <cell r="CG107"/>
          <cell r="CH107"/>
          <cell r="CI107"/>
          <cell r="CJ107"/>
          <cell r="CK107"/>
          <cell r="CL107"/>
          <cell r="CM107"/>
          <cell r="CN107"/>
          <cell r="CO107"/>
          <cell r="CP107"/>
          <cell r="CQ107"/>
          <cell r="CR107"/>
          <cell r="CS107"/>
          <cell r="CT107"/>
          <cell r="CU107"/>
          <cell r="CV107"/>
          <cell r="CW107"/>
          <cell r="CX107"/>
          <cell r="CY107"/>
          <cell r="CZ107"/>
          <cell r="DA107"/>
          <cell r="DB107"/>
          <cell r="DC107"/>
          <cell r="DD107"/>
          <cell r="DE107"/>
          <cell r="DF107"/>
          <cell r="DG107"/>
          <cell r="DH107"/>
          <cell r="DI107"/>
          <cell r="DJ107"/>
          <cell r="DK107"/>
          <cell r="DL107"/>
          <cell r="DM107"/>
          <cell r="DN107"/>
          <cell r="DO107"/>
          <cell r="DP107"/>
          <cell r="DQ107"/>
          <cell r="DR107"/>
          <cell r="DS107"/>
          <cell r="DT107"/>
          <cell r="DU107"/>
          <cell r="DV107"/>
          <cell r="DW107"/>
          <cell r="DX107"/>
          <cell r="ED107"/>
          <cell r="ES107" t="str">
            <v>785C-APX5102.RI.CC.0 HOIST CYLINDER</v>
          </cell>
          <cell r="ET107" t="str">
            <v>785C-APX</v>
          </cell>
          <cell r="EV107" t="str">
            <v>5102.RI.CC.0 HOIST CYLINDER</v>
          </cell>
          <cell r="EW107">
            <v>10374.361999999999</v>
          </cell>
          <cell r="EX107">
            <v>780</v>
          </cell>
        </row>
        <row r="108">
          <cell r="N108"/>
          <cell r="O108"/>
          <cell r="P108"/>
          <cell r="Q108"/>
          <cell r="R108"/>
          <cell r="S108"/>
          <cell r="T108"/>
          <cell r="U108"/>
          <cell r="V108"/>
          <cell r="W108"/>
          <cell r="X108"/>
          <cell r="Y108"/>
          <cell r="Z108"/>
          <cell r="AA108"/>
          <cell r="AB108"/>
          <cell r="AC108"/>
          <cell r="AD108"/>
          <cell r="AE108"/>
          <cell r="AF108"/>
          <cell r="AG108"/>
          <cell r="AH108"/>
          <cell r="AI108"/>
          <cell r="AJ108"/>
          <cell r="AK108"/>
          <cell r="AL108"/>
          <cell r="AM108"/>
          <cell r="AN108"/>
          <cell r="AO108"/>
          <cell r="AP108"/>
          <cell r="AQ108"/>
          <cell r="AR108"/>
          <cell r="AS108"/>
          <cell r="AT108"/>
          <cell r="AU108"/>
          <cell r="AV108"/>
          <cell r="AW108"/>
          <cell r="AX108"/>
          <cell r="AY108"/>
          <cell r="AZ108"/>
          <cell r="BA108"/>
          <cell r="BB108"/>
          <cell r="BC108"/>
          <cell r="BD108"/>
          <cell r="BE108"/>
          <cell r="BF108"/>
          <cell r="BG108"/>
          <cell r="BH108"/>
          <cell r="BI108"/>
          <cell r="BJ108"/>
          <cell r="BK108"/>
          <cell r="BL108"/>
          <cell r="BM108"/>
          <cell r="BN108"/>
          <cell r="BO108"/>
          <cell r="BP108"/>
          <cell r="BQ108"/>
          <cell r="BR108"/>
          <cell r="BS108"/>
          <cell r="BT108"/>
          <cell r="BU108"/>
          <cell r="BV108"/>
          <cell r="BW108"/>
          <cell r="BX108"/>
          <cell r="BY108"/>
          <cell r="BZ108"/>
          <cell r="CA108"/>
          <cell r="CB108"/>
          <cell r="CC108"/>
          <cell r="CD108"/>
          <cell r="CE108"/>
          <cell r="CF108"/>
          <cell r="CG108"/>
          <cell r="CH108"/>
          <cell r="CI108"/>
          <cell r="CJ108"/>
          <cell r="CK108"/>
          <cell r="CL108"/>
          <cell r="CM108"/>
          <cell r="CN108"/>
          <cell r="CO108"/>
          <cell r="CP108"/>
          <cell r="CQ108"/>
          <cell r="CR108"/>
          <cell r="CS108"/>
          <cell r="CT108"/>
          <cell r="CU108"/>
          <cell r="CV108"/>
          <cell r="CW108"/>
          <cell r="CX108"/>
          <cell r="CY108"/>
          <cell r="CZ108"/>
          <cell r="DA108"/>
          <cell r="DB108"/>
          <cell r="DC108"/>
          <cell r="DD108"/>
          <cell r="DE108"/>
          <cell r="DF108"/>
          <cell r="DG108"/>
          <cell r="DH108"/>
          <cell r="DI108"/>
          <cell r="DJ108"/>
          <cell r="DK108"/>
          <cell r="DL108"/>
          <cell r="DM108"/>
          <cell r="DN108"/>
          <cell r="DO108"/>
          <cell r="DP108"/>
          <cell r="DQ108"/>
          <cell r="DR108"/>
          <cell r="DS108"/>
          <cell r="DT108"/>
          <cell r="DU108"/>
          <cell r="DV108"/>
          <cell r="DW108"/>
          <cell r="DX108"/>
          <cell r="ED108"/>
          <cell r="ES108" t="str">
            <v>785C-APX5500.00.GR.0 AIR CONTROL SYSTEM</v>
          </cell>
          <cell r="ET108" t="str">
            <v>785C-APX</v>
          </cell>
          <cell r="EV108" t="str">
            <v>5500.00.GR.0 AIR CONTROL SYSTEM</v>
          </cell>
          <cell r="EW108">
            <v>501.44</v>
          </cell>
          <cell r="EX108">
            <v>32.5</v>
          </cell>
        </row>
        <row r="109">
          <cell r="N109"/>
          <cell r="O109"/>
          <cell r="P109"/>
          <cell r="Q109"/>
          <cell r="R109"/>
          <cell r="S109"/>
          <cell r="T109"/>
          <cell r="U109"/>
          <cell r="V109"/>
          <cell r="W109"/>
          <cell r="X109"/>
          <cell r="Y109"/>
          <cell r="Z109"/>
          <cell r="AA109"/>
          <cell r="AB109"/>
          <cell r="AC109"/>
          <cell r="AD109"/>
          <cell r="AE109"/>
          <cell r="AF109"/>
          <cell r="AG109"/>
          <cell r="AH109"/>
          <cell r="AI109"/>
          <cell r="AJ109"/>
          <cell r="AK109"/>
          <cell r="AL109"/>
          <cell r="AM109"/>
          <cell r="AN109"/>
          <cell r="AO109"/>
          <cell r="AP109"/>
          <cell r="AQ109"/>
          <cell r="AR109"/>
          <cell r="AS109"/>
          <cell r="AT109"/>
          <cell r="AU109"/>
          <cell r="AV109"/>
          <cell r="AW109"/>
          <cell r="AX109"/>
          <cell r="AY109"/>
          <cell r="AZ109"/>
          <cell r="BA109"/>
          <cell r="BB109"/>
          <cell r="BC109"/>
          <cell r="BD109"/>
          <cell r="BE109"/>
          <cell r="BF109"/>
          <cell r="BG109"/>
          <cell r="BH109"/>
          <cell r="BI109"/>
          <cell r="BJ109"/>
          <cell r="BK109"/>
          <cell r="BL109"/>
          <cell r="BM109"/>
          <cell r="BN109"/>
          <cell r="BO109"/>
          <cell r="BP109"/>
          <cell r="BQ109"/>
          <cell r="BR109"/>
          <cell r="BS109"/>
          <cell r="BT109"/>
          <cell r="BU109"/>
          <cell r="BV109"/>
          <cell r="BW109"/>
          <cell r="BX109"/>
          <cell r="BY109"/>
          <cell r="BZ109"/>
          <cell r="CA109"/>
          <cell r="CB109"/>
          <cell r="CC109"/>
          <cell r="CD109"/>
          <cell r="CE109"/>
          <cell r="CF109"/>
          <cell r="CG109"/>
          <cell r="CH109"/>
          <cell r="CI109"/>
          <cell r="CJ109"/>
          <cell r="CK109"/>
          <cell r="CL109"/>
          <cell r="CM109"/>
          <cell r="CN109"/>
          <cell r="CO109"/>
          <cell r="CP109"/>
          <cell r="CQ109"/>
          <cell r="CR109"/>
          <cell r="CS109"/>
          <cell r="CT109"/>
          <cell r="CU109"/>
          <cell r="CV109"/>
          <cell r="CW109"/>
          <cell r="CX109"/>
          <cell r="CY109"/>
          <cell r="CZ109"/>
          <cell r="DA109"/>
          <cell r="DB109"/>
          <cell r="DC109"/>
          <cell r="DD109"/>
          <cell r="DE109"/>
          <cell r="DF109"/>
          <cell r="DG109"/>
          <cell r="DH109"/>
          <cell r="DI109"/>
          <cell r="DJ109"/>
          <cell r="DK109"/>
          <cell r="DL109"/>
          <cell r="DM109"/>
          <cell r="DN109"/>
          <cell r="DO109"/>
          <cell r="DP109"/>
          <cell r="DQ109"/>
          <cell r="DR109"/>
          <cell r="DS109"/>
          <cell r="DT109"/>
          <cell r="DU109"/>
          <cell r="DV109"/>
          <cell r="DW109"/>
          <cell r="DX109"/>
          <cell r="ED109"/>
          <cell r="ES109" t="str">
            <v>785C-APX5500.00.RM.0 AIR CONTROL SYSTEM</v>
          </cell>
          <cell r="ET109" t="str">
            <v>785C-APX</v>
          </cell>
          <cell r="EV109" t="str">
            <v>5500.00.RM.0 AIR CONTROL SYSTEM</v>
          </cell>
          <cell r="EW109">
            <v>69.260000000000005</v>
          </cell>
          <cell r="EX109">
            <v>65</v>
          </cell>
        </row>
        <row r="110">
          <cell r="N110"/>
          <cell r="O110"/>
          <cell r="P110"/>
          <cell r="Q110"/>
          <cell r="R110"/>
          <cell r="S110"/>
          <cell r="T110"/>
          <cell r="U110"/>
          <cell r="V110"/>
          <cell r="W110"/>
          <cell r="X110"/>
          <cell r="Y110"/>
          <cell r="Z110"/>
          <cell r="AA110"/>
          <cell r="AB110"/>
          <cell r="AC110"/>
          <cell r="AD110"/>
          <cell r="AE110"/>
          <cell r="AF110"/>
          <cell r="AG110"/>
          <cell r="AH110"/>
          <cell r="AI110"/>
          <cell r="AJ110"/>
          <cell r="AK110"/>
          <cell r="AL110"/>
          <cell r="AM110"/>
          <cell r="AN110"/>
          <cell r="AO110"/>
          <cell r="AP110"/>
          <cell r="AQ110"/>
          <cell r="AR110"/>
          <cell r="AS110"/>
          <cell r="AT110"/>
          <cell r="AU110"/>
          <cell r="AV110"/>
          <cell r="AW110"/>
          <cell r="AX110"/>
          <cell r="AY110"/>
          <cell r="AZ110"/>
          <cell r="BA110"/>
          <cell r="BB110"/>
          <cell r="BC110"/>
          <cell r="BD110"/>
          <cell r="BE110"/>
          <cell r="BF110"/>
          <cell r="BG110"/>
          <cell r="BH110"/>
          <cell r="BI110"/>
          <cell r="BJ110"/>
          <cell r="BK110"/>
          <cell r="BL110"/>
          <cell r="BM110"/>
          <cell r="BN110"/>
          <cell r="BO110"/>
          <cell r="BP110"/>
          <cell r="BQ110"/>
          <cell r="BR110"/>
          <cell r="BS110"/>
          <cell r="BT110"/>
          <cell r="BU110"/>
          <cell r="BV110"/>
          <cell r="BW110"/>
          <cell r="BX110"/>
          <cell r="BY110"/>
          <cell r="BZ110"/>
          <cell r="CA110"/>
          <cell r="CB110"/>
          <cell r="CC110"/>
          <cell r="CD110"/>
          <cell r="CE110"/>
          <cell r="CF110"/>
          <cell r="CG110"/>
          <cell r="CH110"/>
          <cell r="CI110"/>
          <cell r="CJ110"/>
          <cell r="CK110"/>
          <cell r="CL110"/>
          <cell r="CM110"/>
          <cell r="CN110"/>
          <cell r="CO110"/>
          <cell r="CP110"/>
          <cell r="CQ110"/>
          <cell r="CR110"/>
          <cell r="CS110"/>
          <cell r="CT110"/>
          <cell r="CU110"/>
          <cell r="CV110"/>
          <cell r="CW110"/>
          <cell r="CX110"/>
          <cell r="CY110"/>
          <cell r="CZ110"/>
          <cell r="DA110"/>
          <cell r="DB110"/>
          <cell r="DC110"/>
          <cell r="DD110"/>
          <cell r="DE110"/>
          <cell r="DF110"/>
          <cell r="DG110"/>
          <cell r="DH110"/>
          <cell r="DI110"/>
          <cell r="DJ110"/>
          <cell r="DK110"/>
          <cell r="DL110"/>
          <cell r="DM110"/>
          <cell r="DN110"/>
          <cell r="DO110"/>
          <cell r="DP110"/>
          <cell r="DQ110"/>
          <cell r="DR110"/>
          <cell r="DS110"/>
          <cell r="DT110"/>
          <cell r="DU110"/>
          <cell r="DV110"/>
          <cell r="DW110"/>
          <cell r="DX110"/>
          <cell r="ED110"/>
          <cell r="ES110" t="str">
            <v>785C-APX7000.00.RI.0 MACHINE</v>
          </cell>
          <cell r="ET110" t="str">
            <v>785C-APX</v>
          </cell>
          <cell r="EV110" t="str">
            <v>7000.00.RI.0 MACHINE</v>
          </cell>
          <cell r="EW110">
            <v>0</v>
          </cell>
          <cell r="EX110">
            <v>65</v>
          </cell>
        </row>
        <row r="111">
          <cell r="N111"/>
          <cell r="O111"/>
          <cell r="P111"/>
          <cell r="Q111"/>
          <cell r="R111"/>
          <cell r="S111"/>
          <cell r="T111"/>
          <cell r="U111"/>
          <cell r="V111"/>
          <cell r="W111"/>
          <cell r="X111"/>
          <cell r="Y111"/>
          <cell r="Z111"/>
          <cell r="AA111"/>
          <cell r="AB111"/>
          <cell r="AC111"/>
          <cell r="AD111"/>
          <cell r="AE111"/>
          <cell r="AF111"/>
          <cell r="AG111"/>
          <cell r="AH111"/>
          <cell r="AI111"/>
          <cell r="AJ111"/>
          <cell r="AK111"/>
          <cell r="AL111"/>
          <cell r="AM111"/>
          <cell r="AN111"/>
          <cell r="AO111"/>
          <cell r="AP111"/>
          <cell r="AQ111"/>
          <cell r="AR111"/>
          <cell r="AS111"/>
          <cell r="AT111"/>
          <cell r="AU111"/>
          <cell r="AV111"/>
          <cell r="AW111"/>
          <cell r="AX111"/>
          <cell r="AY111"/>
          <cell r="AZ111"/>
          <cell r="BA111"/>
          <cell r="BB111"/>
          <cell r="BC111"/>
          <cell r="BD111"/>
          <cell r="BE111"/>
          <cell r="BF111"/>
          <cell r="BG111"/>
          <cell r="BH111"/>
          <cell r="BI111"/>
          <cell r="BJ111"/>
          <cell r="BK111"/>
          <cell r="BL111"/>
          <cell r="BM111"/>
          <cell r="BN111"/>
          <cell r="BO111"/>
          <cell r="BP111"/>
          <cell r="BQ111"/>
          <cell r="BR111"/>
          <cell r="BS111"/>
          <cell r="BT111"/>
          <cell r="BU111"/>
          <cell r="BV111"/>
          <cell r="BW111"/>
          <cell r="BX111"/>
          <cell r="BY111"/>
          <cell r="BZ111"/>
          <cell r="CA111"/>
          <cell r="CB111"/>
          <cell r="CC111"/>
          <cell r="CD111"/>
          <cell r="CE111"/>
          <cell r="CF111"/>
          <cell r="CG111"/>
          <cell r="CH111"/>
          <cell r="CI111"/>
          <cell r="CJ111"/>
          <cell r="CK111"/>
          <cell r="CL111"/>
          <cell r="CM111"/>
          <cell r="CN111"/>
          <cell r="CO111"/>
          <cell r="CP111"/>
          <cell r="CQ111"/>
          <cell r="CR111"/>
          <cell r="CS111"/>
          <cell r="CT111"/>
          <cell r="CU111"/>
          <cell r="CV111"/>
          <cell r="CW111"/>
          <cell r="CX111"/>
          <cell r="CY111"/>
          <cell r="CZ111"/>
          <cell r="DA111"/>
          <cell r="DB111"/>
          <cell r="DC111"/>
          <cell r="DD111"/>
          <cell r="DE111"/>
          <cell r="DF111"/>
          <cell r="DG111"/>
          <cell r="DH111"/>
          <cell r="DI111"/>
          <cell r="DJ111"/>
          <cell r="DK111"/>
          <cell r="DL111"/>
          <cell r="DM111"/>
          <cell r="DN111"/>
          <cell r="DO111"/>
          <cell r="DP111"/>
          <cell r="DQ111"/>
          <cell r="DR111"/>
          <cell r="DS111"/>
          <cell r="DT111"/>
          <cell r="DU111"/>
          <cell r="DV111"/>
          <cell r="DW111"/>
          <cell r="DX111"/>
          <cell r="ED111"/>
          <cell r="ES111" t="str">
            <v>785C-APX7050.00.GR.0 FRAME</v>
          </cell>
          <cell r="ET111" t="str">
            <v>785C-APX</v>
          </cell>
          <cell r="EV111" t="str">
            <v>7050.00.GR.0 FRAME</v>
          </cell>
          <cell r="EW111">
            <v>1323.8074999999999</v>
          </cell>
          <cell r="EX111">
            <v>2437.5</v>
          </cell>
        </row>
        <row r="112">
          <cell r="N112"/>
          <cell r="O112"/>
          <cell r="P112"/>
          <cell r="Q112"/>
          <cell r="R112"/>
          <cell r="S112"/>
          <cell r="T112"/>
          <cell r="U112"/>
          <cell r="V112"/>
          <cell r="W112"/>
          <cell r="X112"/>
          <cell r="Y112"/>
          <cell r="Z112"/>
          <cell r="AA112"/>
          <cell r="AB112"/>
          <cell r="AC112"/>
          <cell r="AD112"/>
          <cell r="AE112"/>
          <cell r="AF112"/>
          <cell r="AG112"/>
          <cell r="AH112"/>
          <cell r="AI112"/>
          <cell r="AJ112"/>
          <cell r="AK112"/>
          <cell r="AL112"/>
          <cell r="AM112"/>
          <cell r="AN112"/>
          <cell r="AO112"/>
          <cell r="AP112"/>
          <cell r="AQ112"/>
          <cell r="AR112"/>
          <cell r="AS112"/>
          <cell r="AT112"/>
          <cell r="AU112"/>
          <cell r="AV112"/>
          <cell r="AW112"/>
          <cell r="AX112"/>
          <cell r="AY112"/>
          <cell r="AZ112"/>
          <cell r="BA112"/>
          <cell r="BB112"/>
          <cell r="BC112"/>
          <cell r="BD112"/>
          <cell r="BE112"/>
          <cell r="BF112"/>
          <cell r="BG112"/>
          <cell r="BH112"/>
          <cell r="BI112"/>
          <cell r="BJ112"/>
          <cell r="BK112"/>
          <cell r="BL112"/>
          <cell r="BM112"/>
          <cell r="BN112"/>
          <cell r="BO112"/>
          <cell r="BP112"/>
          <cell r="BQ112"/>
          <cell r="BR112"/>
          <cell r="BS112"/>
          <cell r="BT112"/>
          <cell r="BU112"/>
          <cell r="BV112"/>
          <cell r="BW112"/>
          <cell r="BX112"/>
          <cell r="BY112"/>
          <cell r="BZ112"/>
          <cell r="CA112"/>
          <cell r="CB112"/>
          <cell r="CC112"/>
          <cell r="CD112"/>
          <cell r="CE112"/>
          <cell r="CF112"/>
          <cell r="CG112"/>
          <cell r="CH112"/>
          <cell r="CI112"/>
          <cell r="CJ112"/>
          <cell r="CK112"/>
          <cell r="CL112"/>
          <cell r="CM112"/>
          <cell r="CN112"/>
          <cell r="CO112"/>
          <cell r="CP112"/>
          <cell r="CQ112"/>
          <cell r="CR112"/>
          <cell r="CS112"/>
          <cell r="CT112"/>
          <cell r="CU112"/>
          <cell r="CV112"/>
          <cell r="CW112"/>
          <cell r="CX112"/>
          <cell r="CY112"/>
          <cell r="CZ112"/>
          <cell r="DA112"/>
          <cell r="DB112"/>
          <cell r="DC112"/>
          <cell r="DD112"/>
          <cell r="DE112"/>
          <cell r="DF112"/>
          <cell r="DG112"/>
          <cell r="DH112"/>
          <cell r="DI112"/>
          <cell r="DJ112"/>
          <cell r="DK112"/>
          <cell r="DL112"/>
          <cell r="DM112"/>
          <cell r="DN112"/>
          <cell r="DO112"/>
          <cell r="DP112"/>
          <cell r="DQ112"/>
          <cell r="DR112"/>
          <cell r="DS112"/>
          <cell r="DT112"/>
          <cell r="DU112"/>
          <cell r="DV112"/>
          <cell r="DW112"/>
          <cell r="DX112"/>
          <cell r="ED112"/>
          <cell r="ES112" t="str">
            <v>785C-APX7201.FR.RM.0 SUSPENSION</v>
          </cell>
          <cell r="ET112" t="str">
            <v>785C-APX</v>
          </cell>
          <cell r="EV112" t="str">
            <v>7201.FR.RM.0 SUSPENSION</v>
          </cell>
          <cell r="EW112">
            <v>72.040000000000006</v>
          </cell>
          <cell r="EX112">
            <v>195</v>
          </cell>
        </row>
        <row r="113">
          <cell r="N113"/>
          <cell r="O113"/>
          <cell r="P113"/>
          <cell r="Q113"/>
          <cell r="R113"/>
          <cell r="S113"/>
          <cell r="T113"/>
          <cell r="U113"/>
          <cell r="V113"/>
          <cell r="W113"/>
          <cell r="X113"/>
          <cell r="Y113"/>
          <cell r="Z113"/>
          <cell r="AA113"/>
          <cell r="AB113"/>
          <cell r="AC113"/>
          <cell r="AD113"/>
          <cell r="AE113"/>
          <cell r="AF113"/>
          <cell r="AG113"/>
          <cell r="AH113"/>
          <cell r="AI113"/>
          <cell r="AJ113"/>
          <cell r="AK113"/>
          <cell r="AL113"/>
          <cell r="AM113"/>
          <cell r="AN113"/>
          <cell r="AO113"/>
          <cell r="AP113"/>
          <cell r="AQ113"/>
          <cell r="AR113"/>
          <cell r="AS113"/>
          <cell r="AT113"/>
          <cell r="AU113"/>
          <cell r="AV113"/>
          <cell r="AW113"/>
          <cell r="AX113"/>
          <cell r="AY113"/>
          <cell r="AZ113"/>
          <cell r="BA113"/>
          <cell r="BB113"/>
          <cell r="BC113"/>
          <cell r="BD113"/>
          <cell r="BE113"/>
          <cell r="BF113"/>
          <cell r="BG113"/>
          <cell r="BH113"/>
          <cell r="BI113"/>
          <cell r="BJ113"/>
          <cell r="BK113"/>
          <cell r="BL113"/>
          <cell r="BM113"/>
          <cell r="BN113"/>
          <cell r="BO113"/>
          <cell r="BP113"/>
          <cell r="BQ113"/>
          <cell r="BR113"/>
          <cell r="BS113"/>
          <cell r="BT113"/>
          <cell r="BU113"/>
          <cell r="BV113"/>
          <cell r="BW113"/>
          <cell r="BX113"/>
          <cell r="BY113"/>
          <cell r="BZ113"/>
          <cell r="CA113"/>
          <cell r="CB113"/>
          <cell r="CC113"/>
          <cell r="CD113"/>
          <cell r="CE113"/>
          <cell r="CF113"/>
          <cell r="CG113"/>
          <cell r="CH113"/>
          <cell r="CI113"/>
          <cell r="CJ113"/>
          <cell r="CK113"/>
          <cell r="CL113"/>
          <cell r="CM113"/>
          <cell r="CN113"/>
          <cell r="CO113"/>
          <cell r="CP113"/>
          <cell r="CQ113"/>
          <cell r="CR113"/>
          <cell r="CS113"/>
          <cell r="CT113"/>
          <cell r="CU113"/>
          <cell r="CV113"/>
          <cell r="CW113"/>
          <cell r="CX113"/>
          <cell r="CY113"/>
          <cell r="CZ113"/>
          <cell r="DA113"/>
          <cell r="DB113"/>
          <cell r="DC113"/>
          <cell r="DD113"/>
          <cell r="DE113"/>
          <cell r="DF113"/>
          <cell r="DG113"/>
          <cell r="DH113"/>
          <cell r="DI113"/>
          <cell r="DJ113"/>
          <cell r="DK113"/>
          <cell r="DL113"/>
          <cell r="DM113"/>
          <cell r="DN113"/>
          <cell r="DO113"/>
          <cell r="DP113"/>
          <cell r="DQ113"/>
          <cell r="DR113"/>
          <cell r="DS113"/>
          <cell r="DT113"/>
          <cell r="DU113"/>
          <cell r="DV113"/>
          <cell r="DW113"/>
          <cell r="DX113"/>
          <cell r="ED113"/>
          <cell r="ES113" t="str">
            <v>785C-APX7201.LF.CC.0 SUSPENSION</v>
          </cell>
          <cell r="ET113" t="str">
            <v>785C-APX</v>
          </cell>
          <cell r="EV113" t="str">
            <v>7201.LF.CC.0 SUSPENSION</v>
          </cell>
          <cell r="EW113">
            <v>17370.674999999999</v>
          </cell>
          <cell r="EX113">
            <v>1950</v>
          </cell>
        </row>
        <row r="114">
          <cell r="N114"/>
          <cell r="O114"/>
          <cell r="P114"/>
          <cell r="Q114"/>
          <cell r="R114"/>
          <cell r="S114"/>
          <cell r="T114"/>
          <cell r="U114"/>
          <cell r="V114"/>
          <cell r="W114"/>
          <cell r="X114"/>
          <cell r="Y114"/>
          <cell r="Z114"/>
          <cell r="AA114"/>
          <cell r="AB114"/>
          <cell r="AC114"/>
          <cell r="AD114"/>
          <cell r="AE114"/>
          <cell r="AF114"/>
          <cell r="AG114"/>
          <cell r="AH114"/>
          <cell r="AI114"/>
          <cell r="AJ114"/>
          <cell r="AK114"/>
          <cell r="AL114"/>
          <cell r="AM114"/>
          <cell r="AN114"/>
          <cell r="AO114"/>
          <cell r="AP114"/>
          <cell r="AQ114"/>
          <cell r="AR114"/>
          <cell r="AS114"/>
          <cell r="AT114"/>
          <cell r="AU114"/>
          <cell r="AV114"/>
          <cell r="AW114"/>
          <cell r="AX114"/>
          <cell r="AY114"/>
          <cell r="AZ114"/>
          <cell r="BA114"/>
          <cell r="BB114"/>
          <cell r="BC114"/>
          <cell r="BD114"/>
          <cell r="BE114"/>
          <cell r="BF114"/>
          <cell r="BG114"/>
          <cell r="BH114"/>
          <cell r="BI114"/>
          <cell r="BJ114"/>
          <cell r="BK114"/>
          <cell r="BL114"/>
          <cell r="BM114"/>
          <cell r="BN114"/>
          <cell r="BO114"/>
          <cell r="BP114"/>
          <cell r="BQ114"/>
          <cell r="BR114"/>
          <cell r="BS114"/>
          <cell r="BT114"/>
          <cell r="BU114"/>
          <cell r="BV114"/>
          <cell r="BW114"/>
          <cell r="BX114"/>
          <cell r="BY114"/>
          <cell r="BZ114"/>
          <cell r="CA114"/>
          <cell r="CB114"/>
          <cell r="CC114"/>
          <cell r="CD114"/>
          <cell r="CE114"/>
          <cell r="CF114"/>
          <cell r="CG114"/>
          <cell r="CH114"/>
          <cell r="CI114"/>
          <cell r="CJ114"/>
          <cell r="CK114"/>
          <cell r="CL114"/>
          <cell r="CM114"/>
          <cell r="CN114"/>
          <cell r="CO114"/>
          <cell r="CP114"/>
          <cell r="CQ114"/>
          <cell r="CR114"/>
          <cell r="CS114"/>
          <cell r="CT114"/>
          <cell r="CU114"/>
          <cell r="CV114"/>
          <cell r="CW114"/>
          <cell r="CX114"/>
          <cell r="CY114"/>
          <cell r="CZ114"/>
          <cell r="DA114"/>
          <cell r="DB114"/>
          <cell r="DC114"/>
          <cell r="DD114"/>
          <cell r="DE114"/>
          <cell r="DF114"/>
          <cell r="DG114"/>
          <cell r="DH114"/>
          <cell r="DI114"/>
          <cell r="DJ114"/>
          <cell r="DK114"/>
          <cell r="DL114"/>
          <cell r="DM114"/>
          <cell r="DN114"/>
          <cell r="DO114"/>
          <cell r="DP114"/>
          <cell r="DQ114"/>
          <cell r="DR114"/>
          <cell r="DS114"/>
          <cell r="DT114"/>
          <cell r="DU114"/>
          <cell r="DV114"/>
          <cell r="DW114"/>
          <cell r="DX114"/>
          <cell r="ED114"/>
          <cell r="ES114" t="str">
            <v>785C-APX7201.RF.CC.0 SUSPENSION</v>
          </cell>
          <cell r="ET114" t="str">
            <v>785C-APX</v>
          </cell>
          <cell r="EV114" t="str">
            <v>7201.RF.CC.0 SUSPENSION</v>
          </cell>
          <cell r="EW114">
            <v>17370.674999999999</v>
          </cell>
          <cell r="EX114">
            <v>1950</v>
          </cell>
        </row>
        <row r="115">
          <cell r="N115"/>
          <cell r="O115"/>
          <cell r="P115"/>
          <cell r="Q115"/>
          <cell r="R115"/>
          <cell r="S115"/>
          <cell r="T115"/>
          <cell r="U115"/>
          <cell r="V115"/>
          <cell r="W115"/>
          <cell r="X115"/>
          <cell r="Y115"/>
          <cell r="Z115"/>
          <cell r="AA115"/>
          <cell r="AB115"/>
          <cell r="AC115"/>
          <cell r="AD115"/>
          <cell r="AE115"/>
          <cell r="AF115"/>
          <cell r="AG115"/>
          <cell r="AH115"/>
          <cell r="AI115"/>
          <cell r="AJ115"/>
          <cell r="AK115"/>
          <cell r="AL115"/>
          <cell r="AM115"/>
          <cell r="AN115"/>
          <cell r="AO115"/>
          <cell r="AP115"/>
          <cell r="AQ115"/>
          <cell r="AR115"/>
          <cell r="AS115"/>
          <cell r="AT115"/>
          <cell r="AU115"/>
          <cell r="AV115"/>
          <cell r="AW115"/>
          <cell r="AX115"/>
          <cell r="AY115"/>
          <cell r="AZ115"/>
          <cell r="BA115"/>
          <cell r="BB115"/>
          <cell r="BC115"/>
          <cell r="BD115"/>
          <cell r="BE115"/>
          <cell r="BF115"/>
          <cell r="BG115"/>
          <cell r="BH115"/>
          <cell r="BI115"/>
          <cell r="BJ115"/>
          <cell r="BK115"/>
          <cell r="BL115"/>
          <cell r="BM115"/>
          <cell r="BN115"/>
          <cell r="BO115"/>
          <cell r="BP115"/>
          <cell r="BQ115"/>
          <cell r="BR115"/>
          <cell r="BS115"/>
          <cell r="BT115"/>
          <cell r="BU115"/>
          <cell r="BV115"/>
          <cell r="BW115"/>
          <cell r="BX115"/>
          <cell r="BY115"/>
          <cell r="BZ115"/>
          <cell r="CA115"/>
          <cell r="CB115"/>
          <cell r="CC115"/>
          <cell r="CD115"/>
          <cell r="CE115"/>
          <cell r="CF115"/>
          <cell r="CG115"/>
          <cell r="CH115"/>
          <cell r="CI115"/>
          <cell r="CJ115"/>
          <cell r="CK115"/>
          <cell r="CL115"/>
          <cell r="CM115"/>
          <cell r="CN115"/>
          <cell r="CO115"/>
          <cell r="CP115"/>
          <cell r="CQ115"/>
          <cell r="CR115"/>
          <cell r="CS115"/>
          <cell r="CT115"/>
          <cell r="CU115"/>
          <cell r="CV115"/>
          <cell r="CW115"/>
          <cell r="CX115"/>
          <cell r="CY115"/>
          <cell r="CZ115"/>
          <cell r="DA115"/>
          <cell r="DB115"/>
          <cell r="DC115"/>
          <cell r="DD115"/>
          <cell r="DE115"/>
          <cell r="DF115"/>
          <cell r="DG115"/>
          <cell r="DH115"/>
          <cell r="DI115"/>
          <cell r="DJ115"/>
          <cell r="DK115"/>
          <cell r="DL115"/>
          <cell r="DM115"/>
          <cell r="DN115"/>
          <cell r="DO115"/>
          <cell r="DP115"/>
          <cell r="DQ115"/>
          <cell r="DR115"/>
          <cell r="DS115"/>
          <cell r="DT115"/>
          <cell r="DU115"/>
          <cell r="DV115"/>
          <cell r="DW115"/>
          <cell r="DX115"/>
          <cell r="ED115"/>
          <cell r="ES115" t="str">
            <v>785C-APX7213.LR.CC.1RB SUSPENSION</v>
          </cell>
          <cell r="ET115" t="str">
            <v>785C-APX</v>
          </cell>
          <cell r="EV115" t="str">
            <v>7213.LR.CC.1RB SUSPENSION</v>
          </cell>
          <cell r="EW115">
            <v>4888.8850000000002</v>
          </cell>
          <cell r="EX115">
            <v>650</v>
          </cell>
        </row>
        <row r="116">
          <cell r="N116"/>
          <cell r="O116"/>
          <cell r="P116"/>
          <cell r="Q116"/>
          <cell r="R116"/>
          <cell r="S116"/>
          <cell r="T116"/>
          <cell r="U116"/>
          <cell r="V116"/>
          <cell r="W116"/>
          <cell r="X116"/>
          <cell r="Y116"/>
          <cell r="Z116"/>
          <cell r="AA116"/>
          <cell r="AB116"/>
          <cell r="AC116"/>
          <cell r="AD116"/>
          <cell r="AE116"/>
          <cell r="AF116"/>
          <cell r="AG116"/>
          <cell r="AH116"/>
          <cell r="AI116"/>
          <cell r="AJ116"/>
          <cell r="AK116"/>
          <cell r="AL116"/>
          <cell r="AM116"/>
          <cell r="AN116"/>
          <cell r="AO116"/>
          <cell r="AP116"/>
          <cell r="AQ116"/>
          <cell r="AR116"/>
          <cell r="AS116"/>
          <cell r="AT116"/>
          <cell r="AU116"/>
          <cell r="AV116"/>
          <cell r="AW116"/>
          <cell r="AX116"/>
          <cell r="AY116"/>
          <cell r="AZ116"/>
          <cell r="BA116"/>
          <cell r="BB116"/>
          <cell r="BC116"/>
          <cell r="BD116"/>
          <cell r="BE116"/>
          <cell r="BF116"/>
          <cell r="BG116"/>
          <cell r="BH116"/>
          <cell r="BI116"/>
          <cell r="BJ116"/>
          <cell r="BK116"/>
          <cell r="BL116"/>
          <cell r="BM116"/>
          <cell r="BN116"/>
          <cell r="BO116"/>
          <cell r="BP116"/>
          <cell r="BQ116"/>
          <cell r="BR116"/>
          <cell r="BS116"/>
          <cell r="BT116"/>
          <cell r="BU116"/>
          <cell r="BV116"/>
          <cell r="BW116"/>
          <cell r="BX116"/>
          <cell r="BY116"/>
          <cell r="BZ116"/>
          <cell r="CA116"/>
          <cell r="CB116"/>
          <cell r="CC116"/>
          <cell r="CD116"/>
          <cell r="CE116"/>
          <cell r="CF116"/>
          <cell r="CG116"/>
          <cell r="CH116"/>
          <cell r="CI116"/>
          <cell r="CJ116"/>
          <cell r="CK116"/>
          <cell r="CL116"/>
          <cell r="CM116"/>
          <cell r="CN116"/>
          <cell r="CO116"/>
          <cell r="CP116"/>
          <cell r="CQ116"/>
          <cell r="CR116"/>
          <cell r="CS116"/>
          <cell r="CT116"/>
          <cell r="CU116"/>
          <cell r="CV116"/>
          <cell r="CW116"/>
          <cell r="CX116"/>
          <cell r="CY116"/>
          <cell r="CZ116"/>
          <cell r="DA116"/>
          <cell r="DB116"/>
          <cell r="DC116"/>
          <cell r="DD116"/>
          <cell r="DE116"/>
          <cell r="DF116"/>
          <cell r="DG116"/>
          <cell r="DH116"/>
          <cell r="DI116"/>
          <cell r="DJ116"/>
          <cell r="DK116"/>
          <cell r="DL116"/>
          <cell r="DM116"/>
          <cell r="DN116"/>
          <cell r="DO116"/>
          <cell r="DP116"/>
          <cell r="DQ116"/>
          <cell r="DR116"/>
          <cell r="DS116"/>
          <cell r="DT116"/>
          <cell r="DU116"/>
          <cell r="DV116"/>
          <cell r="DW116"/>
          <cell r="DX116"/>
          <cell r="ED116"/>
          <cell r="ES116" t="str">
            <v>785C-APX7213.LR.CC.2RB SUSPENSION</v>
          </cell>
          <cell r="ET116" t="str">
            <v>785C-APX</v>
          </cell>
          <cell r="EV116" t="str">
            <v>7213.LR.CC.2RB SUSPENSION</v>
          </cell>
          <cell r="EW116">
            <v>10570.725</v>
          </cell>
          <cell r="EX116">
            <v>650</v>
          </cell>
        </row>
        <row r="117">
          <cell r="N117"/>
          <cell r="O117"/>
          <cell r="P117"/>
          <cell r="Q117"/>
          <cell r="R117"/>
          <cell r="S117"/>
          <cell r="T117"/>
          <cell r="U117"/>
          <cell r="V117"/>
          <cell r="W117"/>
          <cell r="X117"/>
          <cell r="Y117"/>
          <cell r="Z117"/>
          <cell r="AA117"/>
          <cell r="AB117"/>
          <cell r="AC117"/>
          <cell r="AD117"/>
          <cell r="AE117"/>
          <cell r="AF117"/>
          <cell r="AG117"/>
          <cell r="AH117"/>
          <cell r="AI117"/>
          <cell r="AJ117"/>
          <cell r="AK117"/>
          <cell r="AL117"/>
          <cell r="AM117"/>
          <cell r="AN117"/>
          <cell r="AO117"/>
          <cell r="AP117"/>
          <cell r="AQ117"/>
          <cell r="AR117"/>
          <cell r="AS117"/>
          <cell r="AT117"/>
          <cell r="AU117"/>
          <cell r="AV117"/>
          <cell r="AW117"/>
          <cell r="AX117"/>
          <cell r="AY117"/>
          <cell r="AZ117"/>
          <cell r="BA117"/>
          <cell r="BB117"/>
          <cell r="BC117"/>
          <cell r="BD117"/>
          <cell r="BE117"/>
          <cell r="BF117"/>
          <cell r="BG117"/>
          <cell r="BH117"/>
          <cell r="BI117"/>
          <cell r="BJ117"/>
          <cell r="BK117"/>
          <cell r="BL117"/>
          <cell r="BM117"/>
          <cell r="BN117"/>
          <cell r="BO117"/>
          <cell r="BP117"/>
          <cell r="BQ117"/>
          <cell r="BR117"/>
          <cell r="BS117"/>
          <cell r="BT117"/>
          <cell r="BU117"/>
          <cell r="BV117"/>
          <cell r="BW117"/>
          <cell r="BX117"/>
          <cell r="BY117"/>
          <cell r="BZ117"/>
          <cell r="CA117"/>
          <cell r="CB117"/>
          <cell r="CC117"/>
          <cell r="CD117"/>
          <cell r="CE117"/>
          <cell r="CF117"/>
          <cell r="CG117"/>
          <cell r="CH117"/>
          <cell r="CI117"/>
          <cell r="CJ117"/>
          <cell r="CK117"/>
          <cell r="CL117"/>
          <cell r="CM117"/>
          <cell r="CN117"/>
          <cell r="CO117"/>
          <cell r="CP117"/>
          <cell r="CQ117"/>
          <cell r="CR117"/>
          <cell r="CS117"/>
          <cell r="CT117"/>
          <cell r="CU117"/>
          <cell r="CV117"/>
          <cell r="CW117"/>
          <cell r="CX117"/>
          <cell r="CY117"/>
          <cell r="CZ117"/>
          <cell r="DA117"/>
          <cell r="DB117"/>
          <cell r="DC117"/>
          <cell r="DD117"/>
          <cell r="DE117"/>
          <cell r="DF117"/>
          <cell r="DG117"/>
          <cell r="DH117"/>
          <cell r="DI117"/>
          <cell r="DJ117"/>
          <cell r="DK117"/>
          <cell r="DL117"/>
          <cell r="DM117"/>
          <cell r="DN117"/>
          <cell r="DO117"/>
          <cell r="DP117"/>
          <cell r="DQ117"/>
          <cell r="DR117"/>
          <cell r="DS117"/>
          <cell r="DT117"/>
          <cell r="DU117"/>
          <cell r="DV117"/>
          <cell r="DW117"/>
          <cell r="DX117"/>
          <cell r="ED117"/>
          <cell r="ES117" t="str">
            <v>785C-APX7213.RE.RM.0 SUSPENSION</v>
          </cell>
          <cell r="ET117" t="str">
            <v>785C-APX</v>
          </cell>
          <cell r="EV117" t="str">
            <v>7213.RE.RM.0 SUSPENSION</v>
          </cell>
          <cell r="EW117">
            <v>36.020000000000003</v>
          </cell>
          <cell r="EX117">
            <v>195</v>
          </cell>
        </row>
        <row r="118">
          <cell r="N118"/>
          <cell r="O118"/>
          <cell r="P118"/>
          <cell r="Q118"/>
          <cell r="R118"/>
          <cell r="S118"/>
          <cell r="T118"/>
          <cell r="U118"/>
          <cell r="V118"/>
          <cell r="W118"/>
          <cell r="X118"/>
          <cell r="Y118"/>
          <cell r="Z118"/>
          <cell r="AA118"/>
          <cell r="AB118"/>
          <cell r="AC118"/>
          <cell r="AD118"/>
          <cell r="AE118"/>
          <cell r="AF118"/>
          <cell r="AG118"/>
          <cell r="AH118"/>
          <cell r="AI118"/>
          <cell r="AJ118"/>
          <cell r="AK118"/>
          <cell r="AL118"/>
          <cell r="AM118"/>
          <cell r="AN118"/>
          <cell r="AO118"/>
          <cell r="AP118"/>
          <cell r="AQ118"/>
          <cell r="AR118"/>
          <cell r="AS118"/>
          <cell r="AT118"/>
          <cell r="AU118"/>
          <cell r="AV118"/>
          <cell r="AW118"/>
          <cell r="AX118"/>
          <cell r="AY118"/>
          <cell r="AZ118"/>
          <cell r="BA118"/>
          <cell r="BB118"/>
          <cell r="BC118"/>
          <cell r="BD118"/>
          <cell r="BE118"/>
          <cell r="BF118"/>
          <cell r="BG118"/>
          <cell r="BH118"/>
          <cell r="BI118"/>
          <cell r="BJ118"/>
          <cell r="BK118"/>
          <cell r="BL118"/>
          <cell r="BM118"/>
          <cell r="BN118"/>
          <cell r="BO118"/>
          <cell r="BP118"/>
          <cell r="BQ118"/>
          <cell r="BR118"/>
          <cell r="BS118"/>
          <cell r="BT118"/>
          <cell r="BU118"/>
          <cell r="BV118"/>
          <cell r="BW118"/>
          <cell r="BX118"/>
          <cell r="BY118"/>
          <cell r="BZ118"/>
          <cell r="CA118"/>
          <cell r="CB118"/>
          <cell r="CC118"/>
          <cell r="CD118"/>
          <cell r="CE118"/>
          <cell r="CF118"/>
          <cell r="CG118"/>
          <cell r="CH118"/>
          <cell r="CI118"/>
          <cell r="CJ118"/>
          <cell r="CK118"/>
          <cell r="CL118"/>
          <cell r="CM118"/>
          <cell r="CN118"/>
          <cell r="CO118"/>
          <cell r="CP118"/>
          <cell r="CQ118"/>
          <cell r="CR118"/>
          <cell r="CS118"/>
          <cell r="CT118"/>
          <cell r="CU118"/>
          <cell r="CV118"/>
          <cell r="CW118"/>
          <cell r="CX118"/>
          <cell r="CY118"/>
          <cell r="CZ118"/>
          <cell r="DA118"/>
          <cell r="DB118"/>
          <cell r="DC118"/>
          <cell r="DD118"/>
          <cell r="DE118"/>
          <cell r="DF118"/>
          <cell r="DG118"/>
          <cell r="DH118"/>
          <cell r="DI118"/>
          <cell r="DJ118"/>
          <cell r="DK118"/>
          <cell r="DL118"/>
          <cell r="DM118"/>
          <cell r="DN118"/>
          <cell r="DO118"/>
          <cell r="DP118"/>
          <cell r="DQ118"/>
          <cell r="DR118"/>
          <cell r="DS118"/>
          <cell r="DT118"/>
          <cell r="DU118"/>
          <cell r="DV118"/>
          <cell r="DW118"/>
          <cell r="DX118"/>
          <cell r="ED118"/>
          <cell r="ES118" t="str">
            <v>785C-APX7213.RR.CC.1RB SUSPENSION</v>
          </cell>
          <cell r="ET118" t="str">
            <v>785C-APX</v>
          </cell>
          <cell r="EV118" t="str">
            <v>7213.RR.CC.1RB SUSPENSION</v>
          </cell>
          <cell r="EW118">
            <v>4233.0640000000003</v>
          </cell>
          <cell r="EX118">
            <v>1170</v>
          </cell>
        </row>
        <row r="119">
          <cell r="N119"/>
          <cell r="O119"/>
          <cell r="P119"/>
          <cell r="Q119"/>
          <cell r="R119"/>
          <cell r="S119"/>
          <cell r="T119"/>
          <cell r="U119"/>
          <cell r="V119"/>
          <cell r="W119"/>
          <cell r="X119"/>
          <cell r="Y119"/>
          <cell r="Z119"/>
          <cell r="AA119"/>
          <cell r="AB119"/>
          <cell r="AC119"/>
          <cell r="AD119"/>
          <cell r="AE119"/>
          <cell r="AF119"/>
          <cell r="AG119"/>
          <cell r="AH119"/>
          <cell r="AI119"/>
          <cell r="AJ119"/>
          <cell r="AK119"/>
          <cell r="AL119"/>
          <cell r="AM119"/>
          <cell r="AN119"/>
          <cell r="AO119"/>
          <cell r="AP119"/>
          <cell r="AQ119"/>
          <cell r="AR119"/>
          <cell r="AS119"/>
          <cell r="AT119"/>
          <cell r="AU119"/>
          <cell r="AV119"/>
          <cell r="AW119"/>
          <cell r="AX119"/>
          <cell r="AY119"/>
          <cell r="AZ119"/>
          <cell r="BA119"/>
          <cell r="BB119"/>
          <cell r="BC119"/>
          <cell r="BD119"/>
          <cell r="BE119"/>
          <cell r="BF119"/>
          <cell r="BG119"/>
          <cell r="BH119"/>
          <cell r="BI119"/>
          <cell r="BJ119"/>
          <cell r="BK119"/>
          <cell r="BL119"/>
          <cell r="BM119"/>
          <cell r="BN119"/>
          <cell r="BO119"/>
          <cell r="BP119"/>
          <cell r="BQ119"/>
          <cell r="BR119"/>
          <cell r="BS119"/>
          <cell r="BT119"/>
          <cell r="BU119"/>
          <cell r="BV119"/>
          <cell r="BW119"/>
          <cell r="BX119"/>
          <cell r="BY119"/>
          <cell r="BZ119"/>
          <cell r="CA119"/>
          <cell r="CB119"/>
          <cell r="CC119"/>
          <cell r="CD119"/>
          <cell r="CE119"/>
          <cell r="CF119"/>
          <cell r="CG119"/>
          <cell r="CH119"/>
          <cell r="CI119"/>
          <cell r="CJ119"/>
          <cell r="CK119"/>
          <cell r="CL119"/>
          <cell r="CM119"/>
          <cell r="CN119"/>
          <cell r="CO119"/>
          <cell r="CP119"/>
          <cell r="CQ119"/>
          <cell r="CR119"/>
          <cell r="CS119"/>
          <cell r="CT119"/>
          <cell r="CU119"/>
          <cell r="CV119"/>
          <cell r="CW119"/>
          <cell r="CX119"/>
          <cell r="CY119"/>
          <cell r="CZ119"/>
          <cell r="DA119"/>
          <cell r="DB119"/>
          <cell r="DC119"/>
          <cell r="DD119"/>
          <cell r="DE119"/>
          <cell r="DF119"/>
          <cell r="DG119"/>
          <cell r="DH119"/>
          <cell r="DI119"/>
          <cell r="DJ119"/>
          <cell r="DK119"/>
          <cell r="DL119"/>
          <cell r="DM119"/>
          <cell r="DN119"/>
          <cell r="DO119"/>
          <cell r="DP119"/>
          <cell r="DQ119"/>
          <cell r="DR119"/>
          <cell r="DS119"/>
          <cell r="DT119"/>
          <cell r="DU119"/>
          <cell r="DV119"/>
          <cell r="DW119"/>
          <cell r="DX119"/>
          <cell r="ED119"/>
          <cell r="ES119" t="str">
            <v>785C-APX7213.RR.CC.2RB SUSPENSION</v>
          </cell>
          <cell r="ET119" t="str">
            <v>785C-APX</v>
          </cell>
          <cell r="EV119" t="str">
            <v>7213.RR.CC.2RB SUSPENSION</v>
          </cell>
          <cell r="EW119">
            <v>10570.725</v>
          </cell>
          <cell r="EX119">
            <v>650</v>
          </cell>
        </row>
        <row r="120">
          <cell r="N120"/>
          <cell r="O120"/>
          <cell r="P120"/>
          <cell r="Q120"/>
          <cell r="R120"/>
          <cell r="S120"/>
          <cell r="T120"/>
          <cell r="U120"/>
          <cell r="V120"/>
          <cell r="W120"/>
          <cell r="X120"/>
          <cell r="Y120"/>
          <cell r="Z120"/>
          <cell r="AA120"/>
          <cell r="AB120"/>
          <cell r="AC120"/>
          <cell r="AD120"/>
          <cell r="AE120"/>
          <cell r="AF120"/>
          <cell r="AG120"/>
          <cell r="AH120"/>
          <cell r="AI120"/>
          <cell r="AJ120"/>
          <cell r="AK120"/>
          <cell r="AL120"/>
          <cell r="AM120"/>
          <cell r="AN120"/>
          <cell r="AO120"/>
          <cell r="AP120"/>
          <cell r="AQ120"/>
          <cell r="AR120"/>
          <cell r="AS120"/>
          <cell r="AT120"/>
          <cell r="AU120"/>
          <cell r="AV120"/>
          <cell r="AW120"/>
          <cell r="AX120"/>
          <cell r="AY120"/>
          <cell r="AZ120"/>
          <cell r="BA120"/>
          <cell r="BB120"/>
          <cell r="BC120"/>
          <cell r="BD120"/>
          <cell r="BE120"/>
          <cell r="BF120"/>
          <cell r="BG120"/>
          <cell r="BH120"/>
          <cell r="BI120"/>
          <cell r="BJ120"/>
          <cell r="BK120"/>
          <cell r="BL120"/>
          <cell r="BM120"/>
          <cell r="BN120"/>
          <cell r="BO120"/>
          <cell r="BP120"/>
          <cell r="BQ120"/>
          <cell r="BR120"/>
          <cell r="BS120"/>
          <cell r="BT120"/>
          <cell r="BU120"/>
          <cell r="BV120"/>
          <cell r="BW120"/>
          <cell r="BX120"/>
          <cell r="BY120"/>
          <cell r="BZ120"/>
          <cell r="CA120"/>
          <cell r="CB120"/>
          <cell r="CC120"/>
          <cell r="CD120"/>
          <cell r="CE120"/>
          <cell r="CF120"/>
          <cell r="CG120"/>
          <cell r="CH120"/>
          <cell r="CI120"/>
          <cell r="CJ120"/>
          <cell r="CK120"/>
          <cell r="CL120"/>
          <cell r="CM120"/>
          <cell r="CN120"/>
          <cell r="CO120"/>
          <cell r="CP120"/>
          <cell r="CQ120"/>
          <cell r="CR120"/>
          <cell r="CS120"/>
          <cell r="CT120"/>
          <cell r="CU120"/>
          <cell r="CV120"/>
          <cell r="CW120"/>
          <cell r="CX120"/>
          <cell r="CY120"/>
          <cell r="CZ120"/>
          <cell r="DA120"/>
          <cell r="DB120"/>
          <cell r="DC120"/>
          <cell r="DD120"/>
          <cell r="DE120"/>
          <cell r="DF120"/>
          <cell r="DG120"/>
          <cell r="DH120"/>
          <cell r="DI120"/>
          <cell r="DJ120"/>
          <cell r="DK120"/>
          <cell r="DL120"/>
          <cell r="DM120"/>
          <cell r="DN120"/>
          <cell r="DO120"/>
          <cell r="DP120"/>
          <cell r="DQ120"/>
          <cell r="DR120"/>
          <cell r="DS120"/>
          <cell r="DT120"/>
          <cell r="DU120"/>
          <cell r="DV120"/>
          <cell r="DW120"/>
          <cell r="DX120"/>
          <cell r="ED120"/>
          <cell r="ES120" t="str">
            <v>785C-APX7251.00.GR.0 HOOD</v>
          </cell>
          <cell r="ET120" t="str">
            <v>785C-APX</v>
          </cell>
          <cell r="EV120" t="str">
            <v>7251.00.GR.0 HOOD</v>
          </cell>
          <cell r="EW120">
            <v>10.541</v>
          </cell>
          <cell r="EX120">
            <v>195</v>
          </cell>
        </row>
        <row r="121">
          <cell r="N121"/>
          <cell r="O121"/>
          <cell r="P121"/>
          <cell r="Q121"/>
          <cell r="R121"/>
          <cell r="S121"/>
          <cell r="T121"/>
          <cell r="U121"/>
          <cell r="V121"/>
          <cell r="W121"/>
          <cell r="X121"/>
          <cell r="Y121"/>
          <cell r="Z121"/>
          <cell r="AA121"/>
          <cell r="AB121"/>
          <cell r="AC121"/>
          <cell r="AD121"/>
          <cell r="AE121"/>
          <cell r="AF121"/>
          <cell r="AG121"/>
          <cell r="AH121"/>
          <cell r="AI121"/>
          <cell r="AJ121"/>
          <cell r="AK121"/>
          <cell r="AL121"/>
          <cell r="AM121"/>
          <cell r="AN121"/>
          <cell r="AO121"/>
          <cell r="AP121"/>
          <cell r="AQ121"/>
          <cell r="AR121"/>
          <cell r="AS121"/>
          <cell r="AT121"/>
          <cell r="AU121"/>
          <cell r="AV121"/>
          <cell r="AW121"/>
          <cell r="AX121"/>
          <cell r="AY121"/>
          <cell r="AZ121"/>
          <cell r="BA121"/>
          <cell r="BB121"/>
          <cell r="BC121"/>
          <cell r="BD121"/>
          <cell r="BE121"/>
          <cell r="BF121"/>
          <cell r="BG121"/>
          <cell r="BH121"/>
          <cell r="BI121"/>
          <cell r="BJ121"/>
          <cell r="BK121"/>
          <cell r="BL121"/>
          <cell r="BM121"/>
          <cell r="BN121"/>
          <cell r="BO121"/>
          <cell r="BP121"/>
          <cell r="BQ121"/>
          <cell r="BR121"/>
          <cell r="BS121"/>
          <cell r="BT121"/>
          <cell r="BU121"/>
          <cell r="BV121"/>
          <cell r="BW121"/>
          <cell r="BX121"/>
          <cell r="BY121"/>
          <cell r="BZ121"/>
          <cell r="CA121"/>
          <cell r="CB121"/>
          <cell r="CC121"/>
          <cell r="CD121"/>
          <cell r="CE121"/>
          <cell r="CF121"/>
          <cell r="CG121"/>
          <cell r="CH121"/>
          <cell r="CI121"/>
          <cell r="CJ121"/>
          <cell r="CK121"/>
          <cell r="CL121"/>
          <cell r="CM121"/>
          <cell r="CN121"/>
          <cell r="CO121"/>
          <cell r="CP121"/>
          <cell r="CQ121"/>
          <cell r="CR121"/>
          <cell r="CS121"/>
          <cell r="CT121"/>
          <cell r="CU121"/>
          <cell r="CV121"/>
          <cell r="CW121"/>
          <cell r="CX121"/>
          <cell r="CY121"/>
          <cell r="CZ121"/>
          <cell r="DA121"/>
          <cell r="DB121"/>
          <cell r="DC121"/>
          <cell r="DD121"/>
          <cell r="DE121"/>
          <cell r="DF121"/>
          <cell r="DG121"/>
          <cell r="DH121"/>
          <cell r="DI121"/>
          <cell r="DJ121"/>
          <cell r="DK121"/>
          <cell r="DL121"/>
          <cell r="DM121"/>
          <cell r="DN121"/>
          <cell r="DO121"/>
          <cell r="DP121"/>
          <cell r="DQ121"/>
          <cell r="DR121"/>
          <cell r="DS121"/>
          <cell r="DT121"/>
          <cell r="DU121"/>
          <cell r="DV121"/>
          <cell r="DW121"/>
          <cell r="DX121"/>
          <cell r="ED121"/>
          <cell r="ES121" t="str">
            <v>785C-APX7252.00.GR.0 FENDER</v>
          </cell>
          <cell r="ET121" t="str">
            <v>785C-APX</v>
          </cell>
          <cell r="EV121" t="str">
            <v>7252.00.GR.0 FENDER</v>
          </cell>
          <cell r="EW121">
            <v>9.593</v>
          </cell>
          <cell r="EX121">
            <v>292.5</v>
          </cell>
        </row>
        <row r="122">
          <cell r="N122"/>
          <cell r="O122"/>
          <cell r="P122"/>
          <cell r="Q122"/>
          <cell r="R122"/>
          <cell r="S122"/>
          <cell r="T122"/>
          <cell r="U122"/>
          <cell r="V122"/>
          <cell r="W122"/>
          <cell r="X122"/>
          <cell r="Y122"/>
          <cell r="Z122"/>
          <cell r="AA122"/>
          <cell r="AB122"/>
          <cell r="AC122"/>
          <cell r="AD122"/>
          <cell r="AE122"/>
          <cell r="AF122"/>
          <cell r="AG122"/>
          <cell r="AH122"/>
          <cell r="AI122"/>
          <cell r="AJ122"/>
          <cell r="AK122"/>
          <cell r="AL122"/>
          <cell r="AM122"/>
          <cell r="AN122"/>
          <cell r="AO122"/>
          <cell r="AP122"/>
          <cell r="AQ122"/>
          <cell r="AR122"/>
          <cell r="AS122"/>
          <cell r="AT122"/>
          <cell r="AU122"/>
          <cell r="AV122"/>
          <cell r="AW122"/>
          <cell r="AX122"/>
          <cell r="AY122"/>
          <cell r="AZ122"/>
          <cell r="BA122"/>
          <cell r="BB122"/>
          <cell r="BC122"/>
          <cell r="BD122"/>
          <cell r="BE122"/>
          <cell r="BF122"/>
          <cell r="BG122"/>
          <cell r="BH122"/>
          <cell r="BI122"/>
          <cell r="BJ122"/>
          <cell r="BK122"/>
          <cell r="BL122"/>
          <cell r="BM122"/>
          <cell r="BN122"/>
          <cell r="BO122"/>
          <cell r="BP122"/>
          <cell r="BQ122"/>
          <cell r="BR122"/>
          <cell r="BS122"/>
          <cell r="BT122"/>
          <cell r="BU122"/>
          <cell r="BV122"/>
          <cell r="BW122"/>
          <cell r="BX122"/>
          <cell r="BY122"/>
          <cell r="BZ122"/>
          <cell r="CA122"/>
          <cell r="CB122"/>
          <cell r="CC122"/>
          <cell r="CD122"/>
          <cell r="CE122"/>
          <cell r="CF122"/>
          <cell r="CG122"/>
          <cell r="CH122"/>
          <cell r="CI122"/>
          <cell r="CJ122"/>
          <cell r="CK122"/>
          <cell r="CL122"/>
          <cell r="CM122"/>
          <cell r="CN122"/>
          <cell r="CO122"/>
          <cell r="CP122"/>
          <cell r="CQ122"/>
          <cell r="CR122"/>
          <cell r="CS122"/>
          <cell r="CT122"/>
          <cell r="CU122"/>
          <cell r="CV122"/>
          <cell r="CW122"/>
          <cell r="CX122"/>
          <cell r="CY122"/>
          <cell r="CZ122"/>
          <cell r="DA122"/>
          <cell r="DB122"/>
          <cell r="DC122"/>
          <cell r="DD122"/>
          <cell r="DE122"/>
          <cell r="DF122"/>
          <cell r="DG122"/>
          <cell r="DH122"/>
          <cell r="DI122"/>
          <cell r="DJ122"/>
          <cell r="DK122"/>
          <cell r="DL122"/>
          <cell r="DM122"/>
          <cell r="DN122"/>
          <cell r="DO122"/>
          <cell r="DP122"/>
          <cell r="DQ122"/>
          <cell r="DR122"/>
          <cell r="DS122"/>
          <cell r="DT122"/>
          <cell r="DU122"/>
          <cell r="DV122"/>
          <cell r="DW122"/>
          <cell r="DX122"/>
          <cell r="ED122"/>
          <cell r="ES122" t="str">
            <v>785C-APX7253.00.GR.0 PLATFORM/DECK</v>
          </cell>
          <cell r="ET122" t="str">
            <v>785C-APX</v>
          </cell>
          <cell r="EV122" t="str">
            <v>7253.00.GR.0 PLATFORM/DECK</v>
          </cell>
          <cell r="EW122">
            <v>15.266500000000001</v>
          </cell>
          <cell r="EX122">
            <v>195</v>
          </cell>
        </row>
        <row r="123">
          <cell r="N123"/>
          <cell r="O123"/>
          <cell r="P123"/>
          <cell r="Q123"/>
          <cell r="R123"/>
          <cell r="S123"/>
          <cell r="T123"/>
          <cell r="U123"/>
          <cell r="V123"/>
          <cell r="W123"/>
          <cell r="X123"/>
          <cell r="Y123"/>
          <cell r="Z123"/>
          <cell r="AA123"/>
          <cell r="AB123"/>
          <cell r="AC123"/>
          <cell r="AD123"/>
          <cell r="AE123"/>
          <cell r="AF123"/>
          <cell r="AG123"/>
          <cell r="AH123"/>
          <cell r="AI123"/>
          <cell r="AJ123"/>
          <cell r="AK123"/>
          <cell r="AL123"/>
          <cell r="AM123"/>
          <cell r="AN123"/>
          <cell r="AO123"/>
          <cell r="AP123"/>
          <cell r="AQ123"/>
          <cell r="AR123"/>
          <cell r="AS123"/>
          <cell r="AT123"/>
          <cell r="AU123"/>
          <cell r="AV123"/>
          <cell r="AW123"/>
          <cell r="AX123"/>
          <cell r="AY123"/>
          <cell r="AZ123"/>
          <cell r="BA123"/>
          <cell r="BB123"/>
          <cell r="BC123"/>
          <cell r="BD123"/>
          <cell r="BE123"/>
          <cell r="BF123"/>
          <cell r="BG123"/>
          <cell r="BH123"/>
          <cell r="BI123"/>
          <cell r="BJ123"/>
          <cell r="BK123"/>
          <cell r="BL123"/>
          <cell r="BM123"/>
          <cell r="BN123"/>
          <cell r="BO123"/>
          <cell r="BP123"/>
          <cell r="BQ123"/>
          <cell r="BR123"/>
          <cell r="BS123"/>
          <cell r="BT123"/>
          <cell r="BU123"/>
          <cell r="BV123"/>
          <cell r="BW123"/>
          <cell r="BX123"/>
          <cell r="BY123"/>
          <cell r="BZ123"/>
          <cell r="CA123"/>
          <cell r="CB123"/>
          <cell r="CC123"/>
          <cell r="CD123"/>
          <cell r="CE123"/>
          <cell r="CF123"/>
          <cell r="CG123"/>
          <cell r="CH123"/>
          <cell r="CI123"/>
          <cell r="CJ123"/>
          <cell r="CK123"/>
          <cell r="CL123"/>
          <cell r="CM123"/>
          <cell r="CN123"/>
          <cell r="CO123"/>
          <cell r="CP123"/>
          <cell r="CQ123"/>
          <cell r="CR123"/>
          <cell r="CS123"/>
          <cell r="CT123"/>
          <cell r="CU123"/>
          <cell r="CV123"/>
          <cell r="CW123"/>
          <cell r="CX123"/>
          <cell r="CY123"/>
          <cell r="CZ123"/>
          <cell r="DA123"/>
          <cell r="DB123"/>
          <cell r="DC123"/>
          <cell r="DD123"/>
          <cell r="DE123"/>
          <cell r="DF123"/>
          <cell r="DG123"/>
          <cell r="DH123"/>
          <cell r="DI123"/>
          <cell r="DJ123"/>
          <cell r="DK123"/>
          <cell r="DL123"/>
          <cell r="DM123"/>
          <cell r="DN123"/>
          <cell r="DO123"/>
          <cell r="DP123"/>
          <cell r="DQ123"/>
          <cell r="DR123"/>
          <cell r="DS123"/>
          <cell r="DT123"/>
          <cell r="DU123"/>
          <cell r="DV123"/>
          <cell r="DW123"/>
          <cell r="DX123"/>
          <cell r="ED123"/>
          <cell r="ES123" t="str">
            <v>785C-APX7254.00.GR.0 LADDER/STEP</v>
          </cell>
          <cell r="ET123" t="str">
            <v>785C-APX</v>
          </cell>
          <cell r="EV123" t="str">
            <v>7254.00.GR.0 LADDER/STEP</v>
          </cell>
          <cell r="EW123">
            <v>5.9189999999999996</v>
          </cell>
          <cell r="EX123">
            <v>390</v>
          </cell>
        </row>
        <row r="124">
          <cell r="N124"/>
          <cell r="O124"/>
          <cell r="P124"/>
          <cell r="Q124"/>
          <cell r="R124"/>
          <cell r="S124"/>
          <cell r="T124"/>
          <cell r="U124"/>
          <cell r="V124"/>
          <cell r="W124"/>
          <cell r="X124"/>
          <cell r="Y124"/>
          <cell r="Z124"/>
          <cell r="AA124"/>
          <cell r="AB124"/>
          <cell r="AC124"/>
          <cell r="AD124"/>
          <cell r="AE124"/>
          <cell r="AF124"/>
          <cell r="AG124"/>
          <cell r="AH124"/>
          <cell r="AI124"/>
          <cell r="AJ124"/>
          <cell r="AK124"/>
          <cell r="AL124"/>
          <cell r="AM124"/>
          <cell r="AN124"/>
          <cell r="AO124"/>
          <cell r="AP124"/>
          <cell r="AQ124"/>
          <cell r="AR124"/>
          <cell r="AS124"/>
          <cell r="AT124"/>
          <cell r="AU124"/>
          <cell r="AV124"/>
          <cell r="AW124"/>
          <cell r="AX124"/>
          <cell r="AY124"/>
          <cell r="AZ124"/>
          <cell r="BA124"/>
          <cell r="BB124"/>
          <cell r="BC124"/>
          <cell r="BD124"/>
          <cell r="BE124"/>
          <cell r="BF124"/>
          <cell r="BG124"/>
          <cell r="BH124"/>
          <cell r="BI124"/>
          <cell r="BJ124"/>
          <cell r="BK124"/>
          <cell r="BL124"/>
          <cell r="BM124"/>
          <cell r="BN124"/>
          <cell r="BO124"/>
          <cell r="BP124"/>
          <cell r="BQ124"/>
          <cell r="BR124"/>
          <cell r="BS124"/>
          <cell r="BT124"/>
          <cell r="BU124"/>
          <cell r="BV124"/>
          <cell r="BW124"/>
          <cell r="BX124"/>
          <cell r="BY124"/>
          <cell r="BZ124"/>
          <cell r="CA124"/>
          <cell r="CB124"/>
          <cell r="CC124"/>
          <cell r="CD124"/>
          <cell r="CE124"/>
          <cell r="CF124"/>
          <cell r="CG124"/>
          <cell r="CH124"/>
          <cell r="CI124"/>
          <cell r="CJ124"/>
          <cell r="CK124"/>
          <cell r="CL124"/>
          <cell r="CM124"/>
          <cell r="CN124"/>
          <cell r="CO124"/>
          <cell r="CP124"/>
          <cell r="CQ124"/>
          <cell r="CR124"/>
          <cell r="CS124"/>
          <cell r="CT124"/>
          <cell r="CU124"/>
          <cell r="CV124"/>
          <cell r="CW124"/>
          <cell r="CX124"/>
          <cell r="CY124"/>
          <cell r="CZ124"/>
          <cell r="DA124"/>
          <cell r="DB124"/>
          <cell r="DC124"/>
          <cell r="DD124"/>
          <cell r="DE124"/>
          <cell r="DF124"/>
          <cell r="DG124"/>
          <cell r="DH124"/>
          <cell r="DI124"/>
          <cell r="DJ124"/>
          <cell r="DK124"/>
          <cell r="DL124"/>
          <cell r="DM124"/>
          <cell r="DN124"/>
          <cell r="DO124"/>
          <cell r="DP124"/>
          <cell r="DQ124"/>
          <cell r="DR124"/>
          <cell r="DS124"/>
          <cell r="DT124"/>
          <cell r="DU124"/>
          <cell r="DV124"/>
          <cell r="DW124"/>
          <cell r="DX124"/>
          <cell r="ED124"/>
          <cell r="ES124" t="str">
            <v>785C-APX7258.00.RM.0 DUMP BODY</v>
          </cell>
          <cell r="ET124" t="str">
            <v>785C-APX</v>
          </cell>
          <cell r="EV124" t="str">
            <v>7258.00.RM.0 DUMP BODY</v>
          </cell>
          <cell r="EW124">
            <v>9019.9166000000005</v>
          </cell>
          <cell r="EX124">
            <v>585</v>
          </cell>
        </row>
        <row r="125">
          <cell r="N125"/>
          <cell r="O125"/>
          <cell r="P125"/>
          <cell r="Q125"/>
          <cell r="R125"/>
          <cell r="S125"/>
          <cell r="T125"/>
          <cell r="U125"/>
          <cell r="V125"/>
          <cell r="W125"/>
          <cell r="X125"/>
          <cell r="Y125"/>
          <cell r="Z125"/>
          <cell r="AA125"/>
          <cell r="AB125"/>
          <cell r="AC125"/>
          <cell r="AD125"/>
          <cell r="AE125"/>
          <cell r="AF125"/>
          <cell r="AG125"/>
          <cell r="AH125"/>
          <cell r="AI125"/>
          <cell r="AJ125"/>
          <cell r="AK125"/>
          <cell r="AL125"/>
          <cell r="AM125"/>
          <cell r="AN125"/>
          <cell r="AO125"/>
          <cell r="AP125"/>
          <cell r="AQ125"/>
          <cell r="AR125"/>
          <cell r="AS125"/>
          <cell r="AT125"/>
          <cell r="AU125"/>
          <cell r="AV125"/>
          <cell r="AW125"/>
          <cell r="AX125"/>
          <cell r="AY125"/>
          <cell r="AZ125"/>
          <cell r="BA125"/>
          <cell r="BB125"/>
          <cell r="BC125"/>
          <cell r="BD125"/>
          <cell r="BE125"/>
          <cell r="BF125"/>
          <cell r="BG125"/>
          <cell r="BH125"/>
          <cell r="BI125"/>
          <cell r="BJ125"/>
          <cell r="BK125"/>
          <cell r="BL125"/>
          <cell r="BM125"/>
          <cell r="BN125"/>
          <cell r="BO125"/>
          <cell r="BP125"/>
          <cell r="BQ125"/>
          <cell r="BR125"/>
          <cell r="BS125"/>
          <cell r="BT125"/>
          <cell r="BU125"/>
          <cell r="BV125"/>
          <cell r="BW125"/>
          <cell r="BX125"/>
          <cell r="BY125"/>
          <cell r="BZ125"/>
          <cell r="CA125"/>
          <cell r="CB125"/>
          <cell r="CC125"/>
          <cell r="CD125"/>
          <cell r="CE125"/>
          <cell r="CF125"/>
          <cell r="CG125"/>
          <cell r="CH125"/>
          <cell r="CI125"/>
          <cell r="CJ125"/>
          <cell r="CK125"/>
          <cell r="CL125"/>
          <cell r="CM125"/>
          <cell r="CN125"/>
          <cell r="CO125"/>
          <cell r="CP125"/>
          <cell r="CQ125"/>
          <cell r="CR125"/>
          <cell r="CS125"/>
          <cell r="CT125"/>
          <cell r="CU125"/>
          <cell r="CV125"/>
          <cell r="CW125"/>
          <cell r="CX125"/>
          <cell r="CY125"/>
          <cell r="CZ125"/>
          <cell r="DA125"/>
          <cell r="DB125"/>
          <cell r="DC125"/>
          <cell r="DD125"/>
          <cell r="DE125"/>
          <cell r="DF125"/>
          <cell r="DG125"/>
          <cell r="DH125"/>
          <cell r="DI125"/>
          <cell r="DJ125"/>
          <cell r="DK125"/>
          <cell r="DL125"/>
          <cell r="DM125"/>
          <cell r="DN125"/>
          <cell r="DO125"/>
          <cell r="DP125"/>
          <cell r="DQ125"/>
          <cell r="DR125"/>
          <cell r="DS125"/>
          <cell r="DT125"/>
          <cell r="DU125"/>
          <cell r="DV125"/>
          <cell r="DW125"/>
          <cell r="DX125"/>
          <cell r="ED125"/>
          <cell r="ES125" t="str">
            <v>785C-APX7300.00.GR.0 OPERATOR STATION</v>
          </cell>
          <cell r="ET125" t="str">
            <v>785C-APX</v>
          </cell>
          <cell r="EV125" t="str">
            <v>7300.00.GR.0 OPERATOR STATION</v>
          </cell>
          <cell r="EW125">
            <v>2340.366</v>
          </cell>
          <cell r="EX125">
            <v>1755</v>
          </cell>
        </row>
        <row r="126">
          <cell r="N126"/>
          <cell r="O126"/>
          <cell r="P126"/>
          <cell r="Q126"/>
          <cell r="R126"/>
          <cell r="S126"/>
          <cell r="T126"/>
          <cell r="U126"/>
          <cell r="V126"/>
          <cell r="W126"/>
          <cell r="X126"/>
          <cell r="Y126"/>
          <cell r="Z126"/>
          <cell r="AA126"/>
          <cell r="AB126"/>
          <cell r="AC126"/>
          <cell r="AD126"/>
          <cell r="AE126"/>
          <cell r="AF126"/>
          <cell r="AG126"/>
          <cell r="AH126"/>
          <cell r="AI126"/>
          <cell r="AJ126"/>
          <cell r="AK126"/>
          <cell r="AL126"/>
          <cell r="AM126"/>
          <cell r="AN126"/>
          <cell r="AO126"/>
          <cell r="AP126"/>
          <cell r="AQ126"/>
          <cell r="AR126"/>
          <cell r="AS126"/>
          <cell r="AT126"/>
          <cell r="AU126"/>
          <cell r="AV126"/>
          <cell r="AW126"/>
          <cell r="AX126"/>
          <cell r="AY126"/>
          <cell r="AZ126"/>
          <cell r="BA126"/>
          <cell r="BB126"/>
          <cell r="BC126"/>
          <cell r="BD126"/>
          <cell r="BE126"/>
          <cell r="BF126"/>
          <cell r="BG126"/>
          <cell r="BH126"/>
          <cell r="BI126"/>
          <cell r="BJ126"/>
          <cell r="BK126"/>
          <cell r="BL126"/>
          <cell r="BM126"/>
          <cell r="BN126"/>
          <cell r="BO126"/>
          <cell r="BP126"/>
          <cell r="BQ126"/>
          <cell r="BR126"/>
          <cell r="BS126"/>
          <cell r="BT126"/>
          <cell r="BU126"/>
          <cell r="BV126"/>
          <cell r="BW126"/>
          <cell r="BX126"/>
          <cell r="BY126"/>
          <cell r="BZ126"/>
          <cell r="CA126"/>
          <cell r="CB126"/>
          <cell r="CC126"/>
          <cell r="CD126"/>
          <cell r="CE126"/>
          <cell r="CF126"/>
          <cell r="CG126"/>
          <cell r="CH126"/>
          <cell r="CI126"/>
          <cell r="CJ126"/>
          <cell r="CK126"/>
          <cell r="CL126"/>
          <cell r="CM126"/>
          <cell r="CN126"/>
          <cell r="CO126"/>
          <cell r="CP126"/>
          <cell r="CQ126"/>
          <cell r="CR126"/>
          <cell r="CS126"/>
          <cell r="CT126"/>
          <cell r="CU126"/>
          <cell r="CV126"/>
          <cell r="CW126"/>
          <cell r="CX126"/>
          <cell r="CY126"/>
          <cell r="CZ126"/>
          <cell r="DA126"/>
          <cell r="DB126"/>
          <cell r="DC126"/>
          <cell r="DD126"/>
          <cell r="DE126"/>
          <cell r="DF126"/>
          <cell r="DG126"/>
          <cell r="DH126"/>
          <cell r="DI126"/>
          <cell r="DJ126"/>
          <cell r="DK126"/>
          <cell r="DL126"/>
          <cell r="DM126"/>
          <cell r="DN126"/>
          <cell r="DO126"/>
          <cell r="DP126"/>
          <cell r="DQ126"/>
          <cell r="DR126"/>
          <cell r="DS126"/>
          <cell r="DT126"/>
          <cell r="DU126"/>
          <cell r="DV126"/>
          <cell r="DW126"/>
          <cell r="DX126"/>
          <cell r="ED126"/>
          <cell r="ES126" t="str">
            <v>785C-APX7300.00.RI.0 OPERATOR STATION</v>
          </cell>
          <cell r="ET126" t="str">
            <v>785C-APX</v>
          </cell>
          <cell r="EV126" t="str">
            <v>7300.00.RI.0 OPERATOR STATION</v>
          </cell>
          <cell r="EW126">
            <v>59.421999999999997</v>
          </cell>
          <cell r="EX126">
            <v>130</v>
          </cell>
        </row>
        <row r="127">
          <cell r="N127"/>
          <cell r="O127"/>
          <cell r="P127"/>
          <cell r="Q127"/>
          <cell r="R127"/>
          <cell r="S127"/>
          <cell r="T127"/>
          <cell r="U127"/>
          <cell r="V127"/>
          <cell r="W127"/>
          <cell r="X127"/>
          <cell r="Y127"/>
          <cell r="Z127"/>
          <cell r="AA127"/>
          <cell r="AB127"/>
          <cell r="AC127"/>
          <cell r="AD127"/>
          <cell r="AE127"/>
          <cell r="AF127"/>
          <cell r="AG127"/>
          <cell r="AH127"/>
          <cell r="AI127"/>
          <cell r="AJ127"/>
          <cell r="AK127"/>
          <cell r="AL127"/>
          <cell r="AM127"/>
          <cell r="AN127"/>
          <cell r="AO127"/>
          <cell r="AP127"/>
          <cell r="AQ127"/>
          <cell r="AR127"/>
          <cell r="AS127"/>
          <cell r="AT127"/>
          <cell r="AU127"/>
          <cell r="AV127"/>
          <cell r="AW127"/>
          <cell r="AX127"/>
          <cell r="AY127"/>
          <cell r="AZ127"/>
          <cell r="BA127"/>
          <cell r="BB127"/>
          <cell r="BC127"/>
          <cell r="BD127"/>
          <cell r="BE127"/>
          <cell r="BF127"/>
          <cell r="BG127"/>
          <cell r="BH127"/>
          <cell r="BI127"/>
          <cell r="BJ127"/>
          <cell r="BK127"/>
          <cell r="BL127"/>
          <cell r="BM127"/>
          <cell r="BN127"/>
          <cell r="BO127"/>
          <cell r="BP127"/>
          <cell r="BQ127"/>
          <cell r="BR127"/>
          <cell r="BS127"/>
          <cell r="BT127"/>
          <cell r="BU127"/>
          <cell r="BV127"/>
          <cell r="BW127"/>
          <cell r="BX127"/>
          <cell r="BY127"/>
          <cell r="BZ127"/>
          <cell r="CA127"/>
          <cell r="CB127"/>
          <cell r="CC127"/>
          <cell r="CD127"/>
          <cell r="CE127"/>
          <cell r="CF127"/>
          <cell r="CG127"/>
          <cell r="CH127"/>
          <cell r="CI127"/>
          <cell r="CJ127"/>
          <cell r="CK127"/>
          <cell r="CL127"/>
          <cell r="CM127"/>
          <cell r="CN127"/>
          <cell r="CO127"/>
          <cell r="CP127"/>
          <cell r="CQ127"/>
          <cell r="CR127"/>
          <cell r="CS127"/>
          <cell r="CT127"/>
          <cell r="CU127"/>
          <cell r="CV127"/>
          <cell r="CW127"/>
          <cell r="CX127"/>
          <cell r="CY127"/>
          <cell r="CZ127"/>
          <cell r="DA127"/>
          <cell r="DB127"/>
          <cell r="DC127"/>
          <cell r="DD127"/>
          <cell r="DE127"/>
          <cell r="DF127"/>
          <cell r="DG127"/>
          <cell r="DH127"/>
          <cell r="DI127"/>
          <cell r="DJ127"/>
          <cell r="DK127"/>
          <cell r="DL127"/>
          <cell r="DM127"/>
          <cell r="DN127"/>
          <cell r="DO127"/>
          <cell r="DP127"/>
          <cell r="DQ127"/>
          <cell r="DR127"/>
          <cell r="DS127"/>
          <cell r="DT127"/>
          <cell r="DU127"/>
          <cell r="DV127"/>
          <cell r="DW127"/>
          <cell r="DX127"/>
          <cell r="ED127"/>
          <cell r="ES127" t="str">
            <v>785C-APX7312.PY.CC.0 OPERATOR SEAT</v>
          </cell>
          <cell r="ET127" t="str">
            <v>785C-APX</v>
          </cell>
          <cell r="EV127" t="str">
            <v>7312.PY.CC.0 OPERATOR SEAT</v>
          </cell>
          <cell r="EW127">
            <v>3857.04</v>
          </cell>
          <cell r="EX127">
            <v>130</v>
          </cell>
        </row>
        <row r="128">
          <cell r="N128"/>
          <cell r="O128"/>
          <cell r="P128"/>
          <cell r="Q128"/>
          <cell r="R128"/>
          <cell r="S128"/>
          <cell r="T128"/>
          <cell r="U128"/>
          <cell r="V128"/>
          <cell r="W128"/>
          <cell r="X128"/>
          <cell r="Y128"/>
          <cell r="Z128"/>
          <cell r="AA128"/>
          <cell r="AB128"/>
          <cell r="AC128"/>
          <cell r="AD128"/>
          <cell r="AE128"/>
          <cell r="AF128"/>
          <cell r="AG128"/>
          <cell r="AH128"/>
          <cell r="AI128"/>
          <cell r="AJ128"/>
          <cell r="AK128"/>
          <cell r="AL128"/>
          <cell r="AM128"/>
          <cell r="AN128"/>
          <cell r="AO128"/>
          <cell r="AP128"/>
          <cell r="AQ128"/>
          <cell r="AR128"/>
          <cell r="AS128"/>
          <cell r="AT128"/>
          <cell r="AU128"/>
          <cell r="AV128"/>
          <cell r="AW128"/>
          <cell r="AX128"/>
          <cell r="AY128"/>
          <cell r="AZ128"/>
          <cell r="BA128"/>
          <cell r="BB128"/>
          <cell r="BC128"/>
          <cell r="BD128"/>
          <cell r="BE128"/>
          <cell r="BF128"/>
          <cell r="BG128"/>
          <cell r="BH128"/>
          <cell r="BI128"/>
          <cell r="BJ128"/>
          <cell r="BK128"/>
          <cell r="BL128"/>
          <cell r="BM128"/>
          <cell r="BN128"/>
          <cell r="BO128"/>
          <cell r="BP128"/>
          <cell r="BQ128"/>
          <cell r="BR128"/>
          <cell r="BS128"/>
          <cell r="BT128"/>
          <cell r="BU128"/>
          <cell r="BV128"/>
          <cell r="BW128"/>
          <cell r="BX128"/>
          <cell r="BY128"/>
          <cell r="BZ128"/>
          <cell r="CA128"/>
          <cell r="CB128"/>
          <cell r="CC128"/>
          <cell r="CD128"/>
          <cell r="CE128"/>
          <cell r="CF128"/>
          <cell r="CG128"/>
          <cell r="CH128"/>
          <cell r="CI128"/>
          <cell r="CJ128"/>
          <cell r="CK128"/>
          <cell r="CL128"/>
          <cell r="CM128"/>
          <cell r="CN128"/>
          <cell r="CO128"/>
          <cell r="CP128"/>
          <cell r="CQ128"/>
          <cell r="CR128"/>
          <cell r="CS128"/>
          <cell r="CT128"/>
          <cell r="CU128"/>
          <cell r="CV128"/>
          <cell r="CW128"/>
          <cell r="CX128"/>
          <cell r="CY128"/>
          <cell r="CZ128"/>
          <cell r="DA128"/>
          <cell r="DB128"/>
          <cell r="DC128"/>
          <cell r="DD128"/>
          <cell r="DE128"/>
          <cell r="DF128"/>
          <cell r="DG128"/>
          <cell r="DH128"/>
          <cell r="DI128"/>
          <cell r="DJ128"/>
          <cell r="DK128"/>
          <cell r="DL128"/>
          <cell r="DM128"/>
          <cell r="DN128"/>
          <cell r="DO128"/>
          <cell r="DP128"/>
          <cell r="DQ128"/>
          <cell r="DR128"/>
          <cell r="DS128"/>
          <cell r="DT128"/>
          <cell r="DU128"/>
          <cell r="DV128"/>
          <cell r="DW128"/>
          <cell r="DX128"/>
          <cell r="ED128"/>
          <cell r="ES128" t="str">
            <v>785C-APX7312.SE.CC.0 OPERATOR SEAT</v>
          </cell>
          <cell r="ET128" t="str">
            <v>785C-APX</v>
          </cell>
          <cell r="EV128" t="str">
            <v>7312.SE.CC.0 OPERATOR SEAT</v>
          </cell>
          <cell r="EW128">
            <v>513.92999999999995</v>
          </cell>
          <cell r="EX128">
            <v>65</v>
          </cell>
        </row>
        <row r="129">
          <cell r="N129"/>
          <cell r="O129"/>
          <cell r="P129"/>
          <cell r="Q129"/>
          <cell r="R129"/>
          <cell r="S129"/>
          <cell r="T129"/>
          <cell r="U129"/>
          <cell r="V129"/>
          <cell r="W129"/>
          <cell r="X129"/>
          <cell r="Y129"/>
          <cell r="Z129"/>
          <cell r="AA129"/>
          <cell r="AB129"/>
          <cell r="AC129"/>
          <cell r="AD129"/>
          <cell r="AE129"/>
          <cell r="AF129"/>
          <cell r="AG129"/>
          <cell r="AH129"/>
          <cell r="AI129"/>
          <cell r="AJ129"/>
          <cell r="AK129"/>
          <cell r="AL129"/>
          <cell r="AM129"/>
          <cell r="AN129"/>
          <cell r="AO129"/>
          <cell r="AP129"/>
          <cell r="AQ129"/>
          <cell r="AR129"/>
          <cell r="AS129"/>
          <cell r="AT129"/>
          <cell r="AU129"/>
          <cell r="AV129"/>
          <cell r="AW129"/>
          <cell r="AX129"/>
          <cell r="AY129"/>
          <cell r="AZ129"/>
          <cell r="BA129"/>
          <cell r="BB129"/>
          <cell r="BC129"/>
          <cell r="BD129"/>
          <cell r="BE129"/>
          <cell r="BF129"/>
          <cell r="BG129"/>
          <cell r="BH129"/>
          <cell r="BI129"/>
          <cell r="BJ129"/>
          <cell r="BK129"/>
          <cell r="BL129"/>
          <cell r="BM129"/>
          <cell r="BN129"/>
          <cell r="BO129"/>
          <cell r="BP129"/>
          <cell r="BQ129"/>
          <cell r="BR129"/>
          <cell r="BS129"/>
          <cell r="BT129"/>
          <cell r="BU129"/>
          <cell r="BV129"/>
          <cell r="BW129"/>
          <cell r="BX129"/>
          <cell r="BY129"/>
          <cell r="BZ129"/>
          <cell r="CA129"/>
          <cell r="CB129"/>
          <cell r="CC129"/>
          <cell r="CD129"/>
          <cell r="CE129"/>
          <cell r="CF129"/>
          <cell r="CG129"/>
          <cell r="CH129"/>
          <cell r="CI129"/>
          <cell r="CJ129"/>
          <cell r="CK129"/>
          <cell r="CL129"/>
          <cell r="CM129"/>
          <cell r="CN129"/>
          <cell r="CO129"/>
          <cell r="CP129"/>
          <cell r="CQ129"/>
          <cell r="CR129"/>
          <cell r="CS129"/>
          <cell r="CT129"/>
          <cell r="CU129"/>
          <cell r="CV129"/>
          <cell r="CW129"/>
          <cell r="CX129"/>
          <cell r="CY129"/>
          <cell r="CZ129"/>
          <cell r="DA129"/>
          <cell r="DB129"/>
          <cell r="DC129"/>
          <cell r="DD129"/>
          <cell r="DE129"/>
          <cell r="DF129"/>
          <cell r="DG129"/>
          <cell r="DH129"/>
          <cell r="DI129"/>
          <cell r="DJ129"/>
          <cell r="DK129"/>
          <cell r="DL129"/>
          <cell r="DM129"/>
          <cell r="DN129"/>
          <cell r="DO129"/>
          <cell r="DP129"/>
          <cell r="DQ129"/>
          <cell r="DR129"/>
          <cell r="DS129"/>
          <cell r="DT129"/>
          <cell r="DU129"/>
          <cell r="DV129"/>
          <cell r="DW129"/>
          <cell r="DX129"/>
          <cell r="ED129"/>
          <cell r="ES129" t="str">
            <v>785C-APX7320.00.CC.0 AIR CONDITIONER</v>
          </cell>
          <cell r="ET129" t="str">
            <v>785C-APX</v>
          </cell>
          <cell r="EV129" t="str">
            <v>7320.00.CC.0 AIR CONDITIONER</v>
          </cell>
          <cell r="EW129">
            <v>3010.8330000000001</v>
          </cell>
          <cell r="EX129">
            <v>1170</v>
          </cell>
        </row>
        <row r="130">
          <cell r="N130"/>
          <cell r="O130"/>
          <cell r="P130"/>
          <cell r="Q130"/>
          <cell r="R130"/>
          <cell r="S130"/>
          <cell r="T130"/>
          <cell r="U130"/>
          <cell r="V130"/>
          <cell r="W130"/>
          <cell r="X130"/>
          <cell r="Y130"/>
          <cell r="Z130"/>
          <cell r="AA130"/>
          <cell r="AB130"/>
          <cell r="AC130"/>
          <cell r="AD130"/>
          <cell r="AE130"/>
          <cell r="AF130"/>
          <cell r="AG130"/>
          <cell r="AH130"/>
          <cell r="AI130"/>
          <cell r="AJ130"/>
          <cell r="AK130"/>
          <cell r="AL130"/>
          <cell r="AM130"/>
          <cell r="AN130"/>
          <cell r="AO130"/>
          <cell r="AP130"/>
          <cell r="AQ130"/>
          <cell r="AR130"/>
          <cell r="AS130"/>
          <cell r="AT130"/>
          <cell r="AU130"/>
          <cell r="AV130"/>
          <cell r="AW130"/>
          <cell r="AX130"/>
          <cell r="AY130"/>
          <cell r="AZ130"/>
          <cell r="BA130"/>
          <cell r="BB130"/>
          <cell r="BC130"/>
          <cell r="BD130"/>
          <cell r="BE130"/>
          <cell r="BF130"/>
          <cell r="BG130"/>
          <cell r="BH130"/>
          <cell r="BI130"/>
          <cell r="BJ130"/>
          <cell r="BK130"/>
          <cell r="BL130"/>
          <cell r="BM130"/>
          <cell r="BN130"/>
          <cell r="BO130"/>
          <cell r="BP130"/>
          <cell r="BQ130"/>
          <cell r="BR130"/>
          <cell r="BS130"/>
          <cell r="BT130"/>
          <cell r="BU130"/>
          <cell r="BV130"/>
          <cell r="BW130"/>
          <cell r="BX130"/>
          <cell r="BY130"/>
          <cell r="BZ130"/>
          <cell r="CA130"/>
          <cell r="CB130"/>
          <cell r="CC130"/>
          <cell r="CD130"/>
          <cell r="CE130"/>
          <cell r="CF130"/>
          <cell r="CG130"/>
          <cell r="CH130"/>
          <cell r="CI130"/>
          <cell r="CJ130"/>
          <cell r="CK130"/>
          <cell r="CL130"/>
          <cell r="CM130"/>
          <cell r="CN130"/>
          <cell r="CO130"/>
          <cell r="CP130"/>
          <cell r="CQ130"/>
          <cell r="CR130"/>
          <cell r="CS130"/>
          <cell r="CT130"/>
          <cell r="CU130"/>
          <cell r="CV130"/>
          <cell r="CW130"/>
          <cell r="CX130"/>
          <cell r="CY130"/>
          <cell r="CZ130"/>
          <cell r="DA130"/>
          <cell r="DB130"/>
          <cell r="DC130"/>
          <cell r="DD130"/>
          <cell r="DE130"/>
          <cell r="DF130"/>
          <cell r="DG130"/>
          <cell r="DH130"/>
          <cell r="DI130"/>
          <cell r="DJ130"/>
          <cell r="DK130"/>
          <cell r="DL130"/>
          <cell r="DM130"/>
          <cell r="DN130"/>
          <cell r="DO130"/>
          <cell r="DP130"/>
          <cell r="DQ130"/>
          <cell r="DR130"/>
          <cell r="DS130"/>
          <cell r="DT130"/>
          <cell r="DU130"/>
          <cell r="DV130"/>
          <cell r="DW130"/>
          <cell r="DX130"/>
          <cell r="ED130"/>
          <cell r="ES130" t="str">
            <v>785C-APX7320.00.RM.0 AIR CONDITIONER</v>
          </cell>
          <cell r="ET130" t="str">
            <v>785C-APX</v>
          </cell>
          <cell r="EV130" t="str">
            <v>7320.00.RM.0 AIR CONDITIONER</v>
          </cell>
          <cell r="EW130">
            <v>0</v>
          </cell>
          <cell r="EX130">
            <v>65</v>
          </cell>
        </row>
        <row r="131">
          <cell r="N131"/>
          <cell r="O131"/>
          <cell r="P131"/>
          <cell r="Q131"/>
          <cell r="R131"/>
          <cell r="S131"/>
          <cell r="T131"/>
          <cell r="U131"/>
          <cell r="V131"/>
          <cell r="W131"/>
          <cell r="X131"/>
          <cell r="Y131"/>
          <cell r="Z131"/>
          <cell r="AA131"/>
          <cell r="AB131"/>
          <cell r="AC131"/>
          <cell r="AD131"/>
          <cell r="AE131"/>
          <cell r="AF131"/>
          <cell r="AG131"/>
          <cell r="AH131"/>
          <cell r="AI131"/>
          <cell r="AJ131"/>
          <cell r="AK131"/>
          <cell r="AL131"/>
          <cell r="AM131"/>
          <cell r="AN131"/>
          <cell r="AO131"/>
          <cell r="AP131"/>
          <cell r="AQ131"/>
          <cell r="AR131"/>
          <cell r="AS131"/>
          <cell r="AT131"/>
          <cell r="AU131"/>
          <cell r="AV131"/>
          <cell r="AW131"/>
          <cell r="AX131"/>
          <cell r="AY131"/>
          <cell r="AZ131"/>
          <cell r="BA131"/>
          <cell r="BB131"/>
          <cell r="BC131"/>
          <cell r="BD131"/>
          <cell r="BE131"/>
          <cell r="BF131"/>
          <cell r="BG131"/>
          <cell r="BH131"/>
          <cell r="BI131"/>
          <cell r="BJ131"/>
          <cell r="BK131"/>
          <cell r="BL131"/>
          <cell r="BM131"/>
          <cell r="BN131"/>
          <cell r="BO131"/>
          <cell r="BP131"/>
          <cell r="BQ131"/>
          <cell r="BR131"/>
          <cell r="BS131"/>
          <cell r="BT131"/>
          <cell r="BU131"/>
          <cell r="BV131"/>
          <cell r="BW131"/>
          <cell r="BX131"/>
          <cell r="BY131"/>
          <cell r="BZ131"/>
          <cell r="CA131"/>
          <cell r="CB131"/>
          <cell r="CC131"/>
          <cell r="CD131"/>
          <cell r="CE131"/>
          <cell r="CF131"/>
          <cell r="CG131"/>
          <cell r="CH131"/>
          <cell r="CI131"/>
          <cell r="CJ131"/>
          <cell r="CK131"/>
          <cell r="CL131"/>
          <cell r="CM131"/>
          <cell r="CN131"/>
          <cell r="CO131"/>
          <cell r="CP131"/>
          <cell r="CQ131"/>
          <cell r="CR131"/>
          <cell r="CS131"/>
          <cell r="CT131"/>
          <cell r="CU131"/>
          <cell r="CV131"/>
          <cell r="CW131"/>
          <cell r="CX131"/>
          <cell r="CY131"/>
          <cell r="CZ131"/>
          <cell r="DA131"/>
          <cell r="DB131"/>
          <cell r="DC131"/>
          <cell r="DD131"/>
          <cell r="DE131"/>
          <cell r="DF131"/>
          <cell r="DG131"/>
          <cell r="DH131"/>
          <cell r="DI131"/>
          <cell r="DJ131"/>
          <cell r="DK131"/>
          <cell r="DL131"/>
          <cell r="DM131"/>
          <cell r="DN131"/>
          <cell r="DO131"/>
          <cell r="DP131"/>
          <cell r="DQ131"/>
          <cell r="DR131"/>
          <cell r="DS131"/>
          <cell r="DT131"/>
          <cell r="DU131"/>
          <cell r="DV131"/>
          <cell r="DW131"/>
          <cell r="DX131"/>
          <cell r="ED131"/>
          <cell r="ES131" t="str">
            <v>785C-APX7320.00.SM.0 AIR CONDITIONER</v>
          </cell>
          <cell r="ET131" t="str">
            <v>785C-APX</v>
          </cell>
          <cell r="EV131" t="str">
            <v>7320.00.SM.0 AIR CONDITIONER</v>
          </cell>
          <cell r="EW131">
            <v>135.19</v>
          </cell>
          <cell r="EX131">
            <v>260</v>
          </cell>
        </row>
        <row r="132">
          <cell r="N132"/>
          <cell r="O132"/>
          <cell r="P132"/>
          <cell r="Q132"/>
          <cell r="R132"/>
          <cell r="S132"/>
          <cell r="T132"/>
          <cell r="U132"/>
          <cell r="V132"/>
          <cell r="W132"/>
          <cell r="X132"/>
          <cell r="Y132"/>
          <cell r="Z132"/>
          <cell r="AA132"/>
          <cell r="AB132"/>
          <cell r="AC132"/>
          <cell r="AD132"/>
          <cell r="AE132"/>
          <cell r="AF132"/>
          <cell r="AG132"/>
          <cell r="AH132"/>
          <cell r="AI132"/>
          <cell r="AJ132"/>
          <cell r="AK132"/>
          <cell r="AL132"/>
          <cell r="AM132"/>
          <cell r="AN132"/>
          <cell r="AO132"/>
          <cell r="AP132"/>
          <cell r="AQ132"/>
          <cell r="AR132"/>
          <cell r="AS132"/>
          <cell r="AT132"/>
          <cell r="AU132"/>
          <cell r="AV132"/>
          <cell r="AW132"/>
          <cell r="AX132"/>
          <cell r="AY132"/>
          <cell r="AZ132"/>
          <cell r="BA132"/>
          <cell r="BB132"/>
          <cell r="BC132"/>
          <cell r="BD132"/>
          <cell r="BE132"/>
          <cell r="BF132"/>
          <cell r="BG132"/>
          <cell r="BH132"/>
          <cell r="BI132"/>
          <cell r="BJ132"/>
          <cell r="BK132"/>
          <cell r="BL132"/>
          <cell r="BM132"/>
          <cell r="BN132"/>
          <cell r="BO132"/>
          <cell r="BP132"/>
          <cell r="BQ132"/>
          <cell r="BR132"/>
          <cell r="BS132"/>
          <cell r="BT132"/>
          <cell r="BU132"/>
          <cell r="BV132"/>
          <cell r="BW132"/>
          <cell r="BX132"/>
          <cell r="BY132"/>
          <cell r="BZ132"/>
          <cell r="CA132"/>
          <cell r="CB132"/>
          <cell r="CC132"/>
          <cell r="CD132"/>
          <cell r="CE132"/>
          <cell r="CF132"/>
          <cell r="CG132"/>
          <cell r="CH132"/>
          <cell r="CI132"/>
          <cell r="CJ132"/>
          <cell r="CK132"/>
          <cell r="CL132"/>
          <cell r="CM132"/>
          <cell r="CN132"/>
          <cell r="CO132"/>
          <cell r="CP132"/>
          <cell r="CQ132"/>
          <cell r="CR132"/>
          <cell r="CS132"/>
          <cell r="CT132"/>
          <cell r="CU132"/>
          <cell r="CV132"/>
          <cell r="CW132"/>
          <cell r="CX132"/>
          <cell r="CY132"/>
          <cell r="CZ132"/>
          <cell r="DA132"/>
          <cell r="DB132"/>
          <cell r="DC132"/>
          <cell r="DD132"/>
          <cell r="DE132"/>
          <cell r="DF132"/>
          <cell r="DG132"/>
          <cell r="DH132"/>
          <cell r="DI132"/>
          <cell r="DJ132"/>
          <cell r="DK132"/>
          <cell r="DL132"/>
          <cell r="DM132"/>
          <cell r="DN132"/>
          <cell r="DO132"/>
          <cell r="DP132"/>
          <cell r="DQ132"/>
          <cell r="DR132"/>
          <cell r="DS132"/>
          <cell r="DT132"/>
          <cell r="DU132"/>
          <cell r="DV132"/>
          <cell r="DW132"/>
          <cell r="DX132"/>
          <cell r="ED132"/>
          <cell r="ES132" t="str">
            <v>785C-APX7342.KC.CC.0 CAB AIR FILTER</v>
          </cell>
          <cell r="ET132" t="str">
            <v>785C-APX</v>
          </cell>
          <cell r="EV132" t="str">
            <v>7342.KC.CC.0 CAB AIR FILTER</v>
          </cell>
          <cell r="EW132">
            <v>50.57</v>
          </cell>
          <cell r="EX132">
            <v>32.5</v>
          </cell>
        </row>
        <row r="133">
          <cell r="N133"/>
          <cell r="O133"/>
          <cell r="P133"/>
          <cell r="Q133"/>
          <cell r="R133"/>
          <cell r="S133"/>
          <cell r="T133"/>
          <cell r="U133"/>
          <cell r="V133"/>
          <cell r="W133"/>
          <cell r="X133"/>
          <cell r="Y133"/>
          <cell r="Z133"/>
          <cell r="AA133"/>
          <cell r="AB133"/>
          <cell r="AC133"/>
          <cell r="AD133"/>
          <cell r="AE133"/>
          <cell r="AF133"/>
          <cell r="AG133"/>
          <cell r="AH133"/>
          <cell r="AI133"/>
          <cell r="AJ133"/>
          <cell r="AK133"/>
          <cell r="AL133"/>
          <cell r="AM133"/>
          <cell r="AN133"/>
          <cell r="AO133"/>
          <cell r="AP133"/>
          <cell r="AQ133"/>
          <cell r="AR133"/>
          <cell r="AS133"/>
          <cell r="AT133"/>
          <cell r="AU133"/>
          <cell r="AV133"/>
          <cell r="AW133"/>
          <cell r="AX133"/>
          <cell r="AY133"/>
          <cell r="AZ133"/>
          <cell r="BA133"/>
          <cell r="BB133"/>
          <cell r="BC133"/>
          <cell r="BD133"/>
          <cell r="BE133"/>
          <cell r="BF133"/>
          <cell r="BG133"/>
          <cell r="BH133"/>
          <cell r="BI133"/>
          <cell r="BJ133"/>
          <cell r="BK133"/>
          <cell r="BL133"/>
          <cell r="BM133"/>
          <cell r="BN133"/>
          <cell r="BO133"/>
          <cell r="BP133"/>
          <cell r="BQ133"/>
          <cell r="BR133"/>
          <cell r="BS133"/>
          <cell r="BT133"/>
          <cell r="BU133"/>
          <cell r="BV133"/>
          <cell r="BW133"/>
          <cell r="BX133"/>
          <cell r="BY133"/>
          <cell r="BZ133"/>
          <cell r="CA133"/>
          <cell r="CB133"/>
          <cell r="CC133"/>
          <cell r="CD133"/>
          <cell r="CE133"/>
          <cell r="CF133"/>
          <cell r="CG133"/>
          <cell r="CH133"/>
          <cell r="CI133"/>
          <cell r="CJ133"/>
          <cell r="CK133"/>
          <cell r="CL133"/>
          <cell r="CM133"/>
          <cell r="CN133"/>
          <cell r="CO133"/>
          <cell r="CP133"/>
          <cell r="CQ133"/>
          <cell r="CR133"/>
          <cell r="CS133"/>
          <cell r="CT133"/>
          <cell r="CU133"/>
          <cell r="CV133"/>
          <cell r="CW133"/>
          <cell r="CX133"/>
          <cell r="CY133"/>
          <cell r="CZ133"/>
          <cell r="DA133"/>
          <cell r="DB133"/>
          <cell r="DC133"/>
          <cell r="DD133"/>
          <cell r="DE133"/>
          <cell r="DF133"/>
          <cell r="DG133"/>
          <cell r="DH133"/>
          <cell r="DI133"/>
          <cell r="DJ133"/>
          <cell r="DK133"/>
          <cell r="DL133"/>
          <cell r="DM133"/>
          <cell r="DN133"/>
          <cell r="DO133"/>
          <cell r="DP133"/>
          <cell r="DQ133"/>
          <cell r="DR133"/>
          <cell r="DS133"/>
          <cell r="DT133"/>
          <cell r="DU133"/>
          <cell r="DV133"/>
          <cell r="DW133"/>
          <cell r="DX133"/>
          <cell r="ED133"/>
          <cell r="ES133" t="str">
            <v>785C-APX7342.KF.CC.0 CAB AIR FILTER</v>
          </cell>
          <cell r="ET133" t="str">
            <v>785C-APX</v>
          </cell>
          <cell r="EV133" t="str">
            <v>7342.KF.CC.0 CAB AIR FILTER</v>
          </cell>
          <cell r="EW133">
            <v>36.659999999999997</v>
          </cell>
          <cell r="EX133">
            <v>32.5</v>
          </cell>
        </row>
        <row r="134">
          <cell r="N134"/>
          <cell r="O134"/>
          <cell r="P134"/>
          <cell r="Q134"/>
          <cell r="R134"/>
          <cell r="S134"/>
          <cell r="T134"/>
          <cell r="U134"/>
          <cell r="V134"/>
          <cell r="W134"/>
          <cell r="X134"/>
          <cell r="Y134"/>
          <cell r="Z134"/>
          <cell r="AA134"/>
          <cell r="AB134"/>
          <cell r="AC134"/>
          <cell r="AD134"/>
          <cell r="AE134"/>
          <cell r="AF134"/>
          <cell r="AG134"/>
          <cell r="AH134"/>
          <cell r="AI134"/>
          <cell r="AJ134"/>
          <cell r="AK134"/>
          <cell r="AL134"/>
          <cell r="AM134"/>
          <cell r="AN134"/>
          <cell r="AO134"/>
          <cell r="AP134"/>
          <cell r="AQ134"/>
          <cell r="AR134"/>
          <cell r="AS134"/>
          <cell r="AT134"/>
          <cell r="AU134"/>
          <cell r="AV134"/>
          <cell r="AW134"/>
          <cell r="AX134"/>
          <cell r="AY134"/>
          <cell r="AZ134"/>
          <cell r="BA134"/>
          <cell r="BB134"/>
          <cell r="BC134"/>
          <cell r="BD134"/>
          <cell r="BE134"/>
          <cell r="BF134"/>
          <cell r="BG134"/>
          <cell r="BH134"/>
          <cell r="BI134"/>
          <cell r="BJ134"/>
          <cell r="BK134"/>
          <cell r="BL134"/>
          <cell r="BM134"/>
          <cell r="BN134"/>
          <cell r="BO134"/>
          <cell r="BP134"/>
          <cell r="BQ134"/>
          <cell r="BR134"/>
          <cell r="BS134"/>
          <cell r="BT134"/>
          <cell r="BU134"/>
          <cell r="BV134"/>
          <cell r="BW134"/>
          <cell r="BX134"/>
          <cell r="BY134"/>
          <cell r="BZ134"/>
          <cell r="CA134"/>
          <cell r="CB134"/>
          <cell r="CC134"/>
          <cell r="CD134"/>
          <cell r="CE134"/>
          <cell r="CF134"/>
          <cell r="CG134"/>
          <cell r="CH134"/>
          <cell r="CI134"/>
          <cell r="CJ134"/>
          <cell r="CK134"/>
          <cell r="CL134"/>
          <cell r="CM134"/>
          <cell r="CN134"/>
          <cell r="CO134"/>
          <cell r="CP134"/>
          <cell r="CQ134"/>
          <cell r="CR134"/>
          <cell r="CS134"/>
          <cell r="CT134"/>
          <cell r="CU134"/>
          <cell r="CV134"/>
          <cell r="CW134"/>
          <cell r="CX134"/>
          <cell r="CY134"/>
          <cell r="CZ134"/>
          <cell r="DA134"/>
          <cell r="DB134"/>
          <cell r="DC134"/>
          <cell r="DD134"/>
          <cell r="DE134"/>
          <cell r="DF134"/>
          <cell r="DG134"/>
          <cell r="DH134"/>
          <cell r="DI134"/>
          <cell r="DJ134"/>
          <cell r="DK134"/>
          <cell r="DL134"/>
          <cell r="DM134"/>
          <cell r="DN134"/>
          <cell r="DO134"/>
          <cell r="DP134"/>
          <cell r="DQ134"/>
          <cell r="DR134"/>
          <cell r="DS134"/>
          <cell r="DT134"/>
          <cell r="DU134"/>
          <cell r="DV134"/>
          <cell r="DW134"/>
          <cell r="DX134"/>
          <cell r="ED134"/>
          <cell r="ES134" t="str">
            <v>785C-APX7400.00.GR.0 PROTECTION DEVICES, ALARMS AND INDICATORS</v>
          </cell>
          <cell r="ET134" t="str">
            <v>785C-APX</v>
          </cell>
          <cell r="EV134" t="str">
            <v>7400.00.GR.0 PROTECTION DEVICES, ALARMS AND INDICATORS</v>
          </cell>
          <cell r="EW134">
            <v>159.005</v>
          </cell>
          <cell r="EX134">
            <v>585</v>
          </cell>
        </row>
        <row r="135">
          <cell r="N135"/>
          <cell r="O135"/>
          <cell r="P135"/>
          <cell r="Q135"/>
          <cell r="R135"/>
          <cell r="S135"/>
          <cell r="T135"/>
          <cell r="U135"/>
          <cell r="V135"/>
          <cell r="W135"/>
          <cell r="X135"/>
          <cell r="Y135"/>
          <cell r="Z135"/>
          <cell r="AA135"/>
          <cell r="AB135"/>
          <cell r="AC135"/>
          <cell r="AD135"/>
          <cell r="AE135"/>
          <cell r="AF135"/>
          <cell r="AG135"/>
          <cell r="AH135"/>
          <cell r="AI135"/>
          <cell r="AJ135"/>
          <cell r="AK135"/>
          <cell r="AL135"/>
          <cell r="AM135"/>
          <cell r="AN135"/>
          <cell r="AO135"/>
          <cell r="AP135"/>
          <cell r="AQ135"/>
          <cell r="AR135"/>
          <cell r="AS135"/>
          <cell r="AT135"/>
          <cell r="AU135"/>
          <cell r="AV135"/>
          <cell r="AW135"/>
          <cell r="AX135"/>
          <cell r="AY135"/>
          <cell r="AZ135"/>
          <cell r="BA135"/>
          <cell r="BB135"/>
          <cell r="BC135"/>
          <cell r="BD135"/>
          <cell r="BE135"/>
          <cell r="BF135"/>
          <cell r="BG135"/>
          <cell r="BH135"/>
          <cell r="BI135"/>
          <cell r="BJ135"/>
          <cell r="BK135"/>
          <cell r="BL135"/>
          <cell r="BM135"/>
          <cell r="BN135"/>
          <cell r="BO135"/>
          <cell r="BP135"/>
          <cell r="BQ135"/>
          <cell r="BR135"/>
          <cell r="BS135"/>
          <cell r="BT135"/>
          <cell r="BU135"/>
          <cell r="BV135"/>
          <cell r="BW135"/>
          <cell r="BX135"/>
          <cell r="BY135"/>
          <cell r="BZ135"/>
          <cell r="CA135"/>
          <cell r="CB135"/>
          <cell r="CC135"/>
          <cell r="CD135"/>
          <cell r="CE135"/>
          <cell r="CF135"/>
          <cell r="CG135"/>
          <cell r="CH135"/>
          <cell r="CI135"/>
          <cell r="CJ135"/>
          <cell r="CK135"/>
          <cell r="CL135"/>
          <cell r="CM135"/>
          <cell r="CN135"/>
          <cell r="CO135"/>
          <cell r="CP135"/>
          <cell r="CQ135"/>
          <cell r="CR135"/>
          <cell r="CS135"/>
          <cell r="CT135"/>
          <cell r="CU135"/>
          <cell r="CV135"/>
          <cell r="CW135"/>
          <cell r="CX135"/>
          <cell r="CY135"/>
          <cell r="CZ135"/>
          <cell r="DA135"/>
          <cell r="DB135"/>
          <cell r="DC135"/>
          <cell r="DD135"/>
          <cell r="DE135"/>
          <cell r="DF135"/>
          <cell r="DG135"/>
          <cell r="DH135"/>
          <cell r="DI135"/>
          <cell r="DJ135"/>
          <cell r="DK135"/>
          <cell r="DL135"/>
          <cell r="DM135"/>
          <cell r="DN135"/>
          <cell r="DO135"/>
          <cell r="DP135"/>
          <cell r="DQ135"/>
          <cell r="DR135"/>
          <cell r="DS135"/>
          <cell r="DT135"/>
          <cell r="DU135"/>
          <cell r="DV135"/>
          <cell r="DW135"/>
          <cell r="DX135"/>
          <cell r="ED135"/>
          <cell r="ES135" t="str">
            <v>785C-APX7450.00.GR.0 GAUGES AND INDICATORS</v>
          </cell>
          <cell r="ET135" t="str">
            <v>785C-APX</v>
          </cell>
          <cell r="EV135" t="str">
            <v>7450.00.GR.0 GAUGES AND INDICATORS</v>
          </cell>
          <cell r="EW135">
            <v>1598.6324999999999</v>
          </cell>
          <cell r="EX135">
            <v>1170</v>
          </cell>
        </row>
        <row r="136">
          <cell r="N136"/>
          <cell r="O136"/>
          <cell r="P136"/>
          <cell r="Q136"/>
          <cell r="R136"/>
          <cell r="S136"/>
          <cell r="T136"/>
          <cell r="U136"/>
          <cell r="V136"/>
          <cell r="W136"/>
          <cell r="X136"/>
          <cell r="Y136"/>
          <cell r="Z136"/>
          <cell r="AA136"/>
          <cell r="AB136"/>
          <cell r="AC136"/>
          <cell r="AD136"/>
          <cell r="AE136"/>
          <cell r="AF136"/>
          <cell r="AG136"/>
          <cell r="AH136"/>
          <cell r="AI136"/>
          <cell r="AJ136"/>
          <cell r="AK136"/>
          <cell r="AL136"/>
          <cell r="AM136"/>
          <cell r="AN136"/>
          <cell r="AO136"/>
          <cell r="AP136"/>
          <cell r="AQ136"/>
          <cell r="AR136"/>
          <cell r="AS136"/>
          <cell r="AT136"/>
          <cell r="AU136"/>
          <cell r="AV136"/>
          <cell r="AW136"/>
          <cell r="AX136"/>
          <cell r="AY136"/>
          <cell r="AZ136"/>
          <cell r="BA136"/>
          <cell r="BB136"/>
          <cell r="BC136"/>
          <cell r="BD136"/>
          <cell r="BE136"/>
          <cell r="BF136"/>
          <cell r="BG136"/>
          <cell r="BH136"/>
          <cell r="BI136"/>
          <cell r="BJ136"/>
          <cell r="BK136"/>
          <cell r="BL136"/>
          <cell r="BM136"/>
          <cell r="BN136"/>
          <cell r="BO136"/>
          <cell r="BP136"/>
          <cell r="BQ136"/>
          <cell r="BR136"/>
          <cell r="BS136"/>
          <cell r="BT136"/>
          <cell r="BU136"/>
          <cell r="BV136"/>
          <cell r="BW136"/>
          <cell r="BX136"/>
          <cell r="BY136"/>
          <cell r="BZ136"/>
          <cell r="CA136"/>
          <cell r="CB136"/>
          <cell r="CC136"/>
          <cell r="CD136"/>
          <cell r="CE136"/>
          <cell r="CF136"/>
          <cell r="CG136"/>
          <cell r="CH136"/>
          <cell r="CI136"/>
          <cell r="CJ136"/>
          <cell r="CK136"/>
          <cell r="CL136"/>
          <cell r="CM136"/>
          <cell r="CN136"/>
          <cell r="CO136"/>
          <cell r="CP136"/>
          <cell r="CQ136"/>
          <cell r="CR136"/>
          <cell r="CS136"/>
          <cell r="CT136"/>
          <cell r="CU136"/>
          <cell r="CV136"/>
          <cell r="CW136"/>
          <cell r="CX136"/>
          <cell r="CY136"/>
          <cell r="CZ136"/>
          <cell r="DA136"/>
          <cell r="DB136"/>
          <cell r="DC136"/>
          <cell r="DD136"/>
          <cell r="DE136"/>
          <cell r="DF136"/>
          <cell r="DG136"/>
          <cell r="DH136"/>
          <cell r="DI136"/>
          <cell r="DJ136"/>
          <cell r="DK136"/>
          <cell r="DL136"/>
          <cell r="DM136"/>
          <cell r="DN136"/>
          <cell r="DO136"/>
          <cell r="DP136"/>
          <cell r="DQ136"/>
          <cell r="DR136"/>
          <cell r="DS136"/>
          <cell r="DT136"/>
          <cell r="DU136"/>
          <cell r="DV136"/>
          <cell r="DW136"/>
          <cell r="DX136"/>
          <cell r="ED136"/>
          <cell r="ES136" t="str">
            <v>785C-APX7494.00.GR.0 PAYLOAD MONITOR SYSTEM</v>
          </cell>
          <cell r="ET136" t="str">
            <v>785C-APX</v>
          </cell>
          <cell r="EV136" t="str">
            <v>7494.00.GR.0 PAYLOAD MONITOR SYSTEM</v>
          </cell>
          <cell r="EW136">
            <v>216.96700000000001</v>
          </cell>
          <cell r="EX136">
            <v>1170</v>
          </cell>
        </row>
        <row r="137">
          <cell r="N137"/>
          <cell r="O137"/>
          <cell r="P137"/>
          <cell r="Q137"/>
          <cell r="R137"/>
          <cell r="S137"/>
          <cell r="T137"/>
          <cell r="U137"/>
          <cell r="V137"/>
          <cell r="W137"/>
          <cell r="X137"/>
          <cell r="Y137"/>
          <cell r="Z137"/>
          <cell r="AA137"/>
          <cell r="AB137"/>
          <cell r="AC137"/>
          <cell r="AD137"/>
          <cell r="AE137"/>
          <cell r="AF137"/>
          <cell r="AG137"/>
          <cell r="AH137"/>
          <cell r="AI137"/>
          <cell r="AJ137"/>
          <cell r="AK137"/>
          <cell r="AL137"/>
          <cell r="AM137"/>
          <cell r="AN137"/>
          <cell r="AO137"/>
          <cell r="AP137"/>
          <cell r="AQ137"/>
          <cell r="AR137"/>
          <cell r="AS137"/>
          <cell r="AT137"/>
          <cell r="AU137"/>
          <cell r="AV137"/>
          <cell r="AW137"/>
          <cell r="AX137"/>
          <cell r="AY137"/>
          <cell r="AZ137"/>
          <cell r="BA137"/>
          <cell r="BB137"/>
          <cell r="BC137"/>
          <cell r="BD137"/>
          <cell r="BE137"/>
          <cell r="BF137"/>
          <cell r="BG137"/>
          <cell r="BH137"/>
          <cell r="BI137"/>
          <cell r="BJ137"/>
          <cell r="BK137"/>
          <cell r="BL137"/>
          <cell r="BM137"/>
          <cell r="BN137"/>
          <cell r="BO137"/>
          <cell r="BP137"/>
          <cell r="BQ137"/>
          <cell r="BR137"/>
          <cell r="BS137"/>
          <cell r="BT137"/>
          <cell r="BU137"/>
          <cell r="BV137"/>
          <cell r="BW137"/>
          <cell r="BX137"/>
          <cell r="BY137"/>
          <cell r="BZ137"/>
          <cell r="CA137"/>
          <cell r="CB137"/>
          <cell r="CC137"/>
          <cell r="CD137"/>
          <cell r="CE137"/>
          <cell r="CF137"/>
          <cell r="CG137"/>
          <cell r="CH137"/>
          <cell r="CI137"/>
          <cell r="CJ137"/>
          <cell r="CK137"/>
          <cell r="CL137"/>
          <cell r="CM137"/>
          <cell r="CN137"/>
          <cell r="CO137"/>
          <cell r="CP137"/>
          <cell r="CQ137"/>
          <cell r="CR137"/>
          <cell r="CS137"/>
          <cell r="CT137"/>
          <cell r="CU137"/>
          <cell r="CV137"/>
          <cell r="CW137"/>
          <cell r="CX137"/>
          <cell r="CY137"/>
          <cell r="CZ137"/>
          <cell r="DA137"/>
          <cell r="DB137"/>
          <cell r="DC137"/>
          <cell r="DD137"/>
          <cell r="DE137"/>
          <cell r="DF137"/>
          <cell r="DG137"/>
          <cell r="DH137"/>
          <cell r="DI137"/>
          <cell r="DJ137"/>
          <cell r="DK137"/>
          <cell r="DL137"/>
          <cell r="DM137"/>
          <cell r="DN137"/>
          <cell r="DO137"/>
          <cell r="DP137"/>
          <cell r="DQ137"/>
          <cell r="DR137"/>
          <cell r="DS137"/>
          <cell r="DT137"/>
          <cell r="DU137"/>
          <cell r="DV137"/>
          <cell r="DW137"/>
          <cell r="DX137"/>
          <cell r="ED137"/>
          <cell r="ES137" t="str">
            <v>785C-APX7494.00.RM.0 PAYLOAD MONITOR SYSTEM</v>
          </cell>
          <cell r="ET137" t="str">
            <v>785C-APX</v>
          </cell>
          <cell r="EV137" t="str">
            <v>7494.00.RM.0 PAYLOAD MONITOR SYSTEM</v>
          </cell>
          <cell r="EW137">
            <v>0</v>
          </cell>
          <cell r="EX137">
            <v>32.5</v>
          </cell>
        </row>
        <row r="138">
          <cell r="N138"/>
          <cell r="O138"/>
          <cell r="P138"/>
          <cell r="Q138"/>
          <cell r="R138"/>
          <cell r="S138"/>
          <cell r="T138"/>
          <cell r="U138"/>
          <cell r="V138"/>
          <cell r="W138"/>
          <cell r="X138"/>
          <cell r="Y138"/>
          <cell r="Z138"/>
          <cell r="AA138"/>
          <cell r="AB138"/>
          <cell r="AC138"/>
          <cell r="AD138"/>
          <cell r="AE138"/>
          <cell r="AF138"/>
          <cell r="AG138"/>
          <cell r="AH138"/>
          <cell r="AI138"/>
          <cell r="AJ138"/>
          <cell r="AK138"/>
          <cell r="AL138"/>
          <cell r="AM138"/>
          <cell r="AN138"/>
          <cell r="AO138"/>
          <cell r="AP138"/>
          <cell r="AQ138"/>
          <cell r="AR138"/>
          <cell r="AS138"/>
          <cell r="AT138"/>
          <cell r="AU138"/>
          <cell r="AV138"/>
          <cell r="AW138"/>
          <cell r="AX138"/>
          <cell r="AY138"/>
          <cell r="AZ138"/>
          <cell r="BA138"/>
          <cell r="BB138"/>
          <cell r="BC138"/>
          <cell r="BD138"/>
          <cell r="BE138"/>
          <cell r="BF138"/>
          <cell r="BG138"/>
          <cell r="BH138"/>
          <cell r="BI138"/>
          <cell r="BJ138"/>
          <cell r="BK138"/>
          <cell r="BL138"/>
          <cell r="BM138"/>
          <cell r="BN138"/>
          <cell r="BO138"/>
          <cell r="BP138"/>
          <cell r="BQ138"/>
          <cell r="BR138"/>
          <cell r="BS138"/>
          <cell r="BT138"/>
          <cell r="BU138"/>
          <cell r="BV138"/>
          <cell r="BW138"/>
          <cell r="BX138"/>
          <cell r="BY138"/>
          <cell r="BZ138"/>
          <cell r="CA138"/>
          <cell r="CB138"/>
          <cell r="CC138"/>
          <cell r="CD138"/>
          <cell r="CE138"/>
          <cell r="CF138"/>
          <cell r="CG138"/>
          <cell r="CH138"/>
          <cell r="CI138"/>
          <cell r="CJ138"/>
          <cell r="CK138"/>
          <cell r="CL138"/>
          <cell r="CM138"/>
          <cell r="CN138"/>
          <cell r="CO138"/>
          <cell r="CP138"/>
          <cell r="CQ138"/>
          <cell r="CR138"/>
          <cell r="CS138"/>
          <cell r="CT138"/>
          <cell r="CU138"/>
          <cell r="CV138"/>
          <cell r="CW138"/>
          <cell r="CX138"/>
          <cell r="CY138"/>
          <cell r="CZ138"/>
          <cell r="DA138"/>
          <cell r="DB138"/>
          <cell r="DC138"/>
          <cell r="DD138"/>
          <cell r="DE138"/>
          <cell r="DF138"/>
          <cell r="DG138"/>
          <cell r="DH138"/>
          <cell r="DI138"/>
          <cell r="DJ138"/>
          <cell r="DK138"/>
          <cell r="DL138"/>
          <cell r="DM138"/>
          <cell r="DN138"/>
          <cell r="DO138"/>
          <cell r="DP138"/>
          <cell r="DQ138"/>
          <cell r="DR138"/>
          <cell r="DS138"/>
          <cell r="DT138"/>
          <cell r="DU138"/>
          <cell r="DV138"/>
          <cell r="DW138"/>
          <cell r="DX138"/>
          <cell r="ED138"/>
          <cell r="ES138" t="str">
            <v>785C-APX7510.00.CC.0 GREASE LINES</v>
          </cell>
          <cell r="ET138" t="str">
            <v>785C-APX</v>
          </cell>
          <cell r="EV138" t="str">
            <v>7510.00.CC.0 GREASE LINES</v>
          </cell>
          <cell r="EW138">
            <v>2330.94</v>
          </cell>
          <cell r="EX138">
            <v>1170</v>
          </cell>
        </row>
        <row r="139">
          <cell r="N139"/>
          <cell r="O139"/>
          <cell r="P139"/>
          <cell r="Q139"/>
          <cell r="R139"/>
          <cell r="S139"/>
          <cell r="T139"/>
          <cell r="U139"/>
          <cell r="V139"/>
          <cell r="W139"/>
          <cell r="X139"/>
          <cell r="Y139"/>
          <cell r="Z139"/>
          <cell r="AA139"/>
          <cell r="AB139"/>
          <cell r="AC139"/>
          <cell r="AD139"/>
          <cell r="AE139"/>
          <cell r="AF139"/>
          <cell r="AG139"/>
          <cell r="AH139"/>
          <cell r="AI139"/>
          <cell r="AJ139"/>
          <cell r="AK139"/>
          <cell r="AL139"/>
          <cell r="AM139"/>
          <cell r="AN139"/>
          <cell r="AO139"/>
          <cell r="AP139"/>
          <cell r="AQ139"/>
          <cell r="AR139"/>
          <cell r="AS139"/>
          <cell r="AT139"/>
          <cell r="AU139"/>
          <cell r="AV139"/>
          <cell r="AW139"/>
          <cell r="AX139"/>
          <cell r="AY139"/>
          <cell r="AZ139"/>
          <cell r="BA139"/>
          <cell r="BB139"/>
          <cell r="BC139"/>
          <cell r="BD139"/>
          <cell r="BE139"/>
          <cell r="BF139"/>
          <cell r="BG139"/>
          <cell r="BH139"/>
          <cell r="BI139"/>
          <cell r="BJ139"/>
          <cell r="BK139"/>
          <cell r="BL139"/>
          <cell r="BM139"/>
          <cell r="BN139"/>
          <cell r="BO139"/>
          <cell r="BP139"/>
          <cell r="BQ139"/>
          <cell r="BR139"/>
          <cell r="BS139"/>
          <cell r="BT139"/>
          <cell r="BU139"/>
          <cell r="BV139"/>
          <cell r="BW139"/>
          <cell r="BX139"/>
          <cell r="BY139"/>
          <cell r="BZ139"/>
          <cell r="CA139"/>
          <cell r="CB139"/>
          <cell r="CC139"/>
          <cell r="CD139"/>
          <cell r="CE139"/>
          <cell r="CF139"/>
          <cell r="CG139"/>
          <cell r="CH139"/>
          <cell r="CI139"/>
          <cell r="CJ139"/>
          <cell r="CK139"/>
          <cell r="CL139"/>
          <cell r="CM139"/>
          <cell r="CN139"/>
          <cell r="CO139"/>
          <cell r="CP139"/>
          <cell r="CQ139"/>
          <cell r="CR139"/>
          <cell r="CS139"/>
          <cell r="CT139"/>
          <cell r="CU139"/>
          <cell r="CV139"/>
          <cell r="CW139"/>
          <cell r="CX139"/>
          <cell r="CY139"/>
          <cell r="CZ139"/>
          <cell r="DA139"/>
          <cell r="DB139"/>
          <cell r="DC139"/>
          <cell r="DD139"/>
          <cell r="DE139"/>
          <cell r="DF139"/>
          <cell r="DG139"/>
          <cell r="DH139"/>
          <cell r="DI139"/>
          <cell r="DJ139"/>
          <cell r="DK139"/>
          <cell r="DL139"/>
          <cell r="DM139"/>
          <cell r="DN139"/>
          <cell r="DO139"/>
          <cell r="DP139"/>
          <cell r="DQ139"/>
          <cell r="DR139"/>
          <cell r="DS139"/>
          <cell r="DT139"/>
          <cell r="DU139"/>
          <cell r="DV139"/>
          <cell r="DW139"/>
          <cell r="DX139"/>
          <cell r="ED139"/>
          <cell r="ES139" t="str">
            <v>785C-APX7513.00.GR.0 FAST FILL SERVICE CENTER</v>
          </cell>
          <cell r="ET139" t="str">
            <v>785C-APX</v>
          </cell>
          <cell r="EV139" t="str">
            <v>7513.00.GR.0 FAST FILL SERVICE CENTER</v>
          </cell>
          <cell r="EW139">
            <v>1262.6320000000001</v>
          </cell>
          <cell r="EX139">
            <v>260</v>
          </cell>
        </row>
        <row r="140">
          <cell r="N140"/>
          <cell r="O140"/>
          <cell r="P140"/>
          <cell r="Q140"/>
          <cell r="R140"/>
          <cell r="S140"/>
          <cell r="T140"/>
          <cell r="U140"/>
          <cell r="V140"/>
          <cell r="W140"/>
          <cell r="X140"/>
          <cell r="Y140"/>
          <cell r="Z140"/>
          <cell r="AA140"/>
          <cell r="AB140"/>
          <cell r="AC140"/>
          <cell r="AD140"/>
          <cell r="AE140"/>
          <cell r="AF140"/>
          <cell r="AG140"/>
          <cell r="AH140"/>
          <cell r="AI140"/>
          <cell r="AJ140"/>
          <cell r="AK140"/>
          <cell r="AL140"/>
          <cell r="AM140"/>
          <cell r="AN140"/>
          <cell r="AO140"/>
          <cell r="AP140"/>
          <cell r="AQ140"/>
          <cell r="AR140"/>
          <cell r="AS140"/>
          <cell r="AT140"/>
          <cell r="AU140"/>
          <cell r="AV140"/>
          <cell r="AW140"/>
          <cell r="AX140"/>
          <cell r="AY140"/>
          <cell r="AZ140"/>
          <cell r="BA140"/>
          <cell r="BB140"/>
          <cell r="BC140"/>
          <cell r="BD140"/>
          <cell r="BE140"/>
          <cell r="BF140"/>
          <cell r="BG140"/>
          <cell r="BH140"/>
          <cell r="BI140"/>
          <cell r="BJ140"/>
          <cell r="BK140"/>
          <cell r="BL140"/>
          <cell r="BM140"/>
          <cell r="BN140"/>
          <cell r="BO140"/>
          <cell r="BP140"/>
          <cell r="BQ140"/>
          <cell r="BR140"/>
          <cell r="BS140"/>
          <cell r="BT140"/>
          <cell r="BU140"/>
          <cell r="BV140"/>
          <cell r="BW140"/>
          <cell r="BX140"/>
          <cell r="BY140"/>
          <cell r="BZ140"/>
          <cell r="CA140"/>
          <cell r="CB140"/>
          <cell r="CC140"/>
          <cell r="CD140"/>
          <cell r="CE140"/>
          <cell r="CF140"/>
          <cell r="CG140"/>
          <cell r="CH140"/>
          <cell r="CI140"/>
          <cell r="CJ140"/>
          <cell r="CK140"/>
          <cell r="CL140"/>
          <cell r="CM140"/>
          <cell r="CN140"/>
          <cell r="CO140"/>
          <cell r="CP140"/>
          <cell r="CQ140"/>
          <cell r="CR140"/>
          <cell r="CS140"/>
          <cell r="CT140"/>
          <cell r="CU140"/>
          <cell r="CV140"/>
          <cell r="CW140"/>
          <cell r="CX140"/>
          <cell r="CY140"/>
          <cell r="CZ140"/>
          <cell r="DA140"/>
          <cell r="DB140"/>
          <cell r="DC140"/>
          <cell r="DD140"/>
          <cell r="DE140"/>
          <cell r="DF140"/>
          <cell r="DG140"/>
          <cell r="DH140"/>
          <cell r="DI140"/>
          <cell r="DJ140"/>
          <cell r="DK140"/>
          <cell r="DL140"/>
          <cell r="DM140"/>
          <cell r="DN140"/>
          <cell r="DO140"/>
          <cell r="DP140"/>
          <cell r="DQ140"/>
          <cell r="DR140"/>
          <cell r="DS140"/>
          <cell r="DT140"/>
          <cell r="DU140"/>
          <cell r="DV140"/>
          <cell r="DW140"/>
          <cell r="DX140"/>
          <cell r="ED140"/>
          <cell r="ES140" t="str">
            <v>785C-APX7520.00.IN.0 10 SVC HOUR MAINTENANCE</v>
          </cell>
          <cell r="ET140" t="str">
            <v>785C-APX</v>
          </cell>
          <cell r="EV140" t="str">
            <v>7520.00.IN.0 10 SVC HOUR MAINTENANCE</v>
          </cell>
          <cell r="EW140">
            <v>0</v>
          </cell>
          <cell r="EX140">
            <v>48.75</v>
          </cell>
        </row>
        <row r="141">
          <cell r="N141"/>
          <cell r="O141"/>
          <cell r="P141"/>
          <cell r="Q141"/>
          <cell r="R141"/>
          <cell r="S141"/>
          <cell r="T141"/>
          <cell r="U141"/>
          <cell r="V141"/>
          <cell r="W141"/>
          <cell r="X141"/>
          <cell r="Y141"/>
          <cell r="Z141"/>
          <cell r="AA141"/>
          <cell r="AB141"/>
          <cell r="AC141"/>
          <cell r="AD141"/>
          <cell r="AE141"/>
          <cell r="AF141"/>
          <cell r="AG141"/>
          <cell r="AH141"/>
          <cell r="AI141"/>
          <cell r="AJ141"/>
          <cell r="AK141"/>
          <cell r="AL141"/>
          <cell r="AM141"/>
          <cell r="AN141"/>
          <cell r="AO141"/>
          <cell r="AP141"/>
          <cell r="AQ141"/>
          <cell r="AR141"/>
          <cell r="AS141"/>
          <cell r="AT141"/>
          <cell r="AU141"/>
          <cell r="AV141"/>
          <cell r="AW141"/>
          <cell r="AX141"/>
          <cell r="AY141"/>
          <cell r="AZ141"/>
          <cell r="BA141"/>
          <cell r="BB141"/>
          <cell r="BC141"/>
          <cell r="BD141"/>
          <cell r="BE141"/>
          <cell r="BF141"/>
          <cell r="BG141"/>
          <cell r="BH141"/>
          <cell r="BI141"/>
          <cell r="BJ141"/>
          <cell r="BK141"/>
          <cell r="BL141"/>
          <cell r="BM141"/>
          <cell r="BN141"/>
          <cell r="BO141"/>
          <cell r="BP141"/>
          <cell r="BQ141"/>
          <cell r="BR141"/>
          <cell r="BS141"/>
          <cell r="BT141"/>
          <cell r="BU141"/>
          <cell r="BV141"/>
          <cell r="BW141"/>
          <cell r="BX141"/>
          <cell r="BY141"/>
          <cell r="BZ141"/>
          <cell r="CA141"/>
          <cell r="CB141"/>
          <cell r="CC141"/>
          <cell r="CD141"/>
          <cell r="CE141"/>
          <cell r="CF141"/>
          <cell r="CG141"/>
          <cell r="CH141"/>
          <cell r="CI141"/>
          <cell r="CJ141"/>
          <cell r="CK141"/>
          <cell r="CL141"/>
          <cell r="CM141"/>
          <cell r="CN141"/>
          <cell r="CO141"/>
          <cell r="CP141"/>
          <cell r="CQ141"/>
          <cell r="CR141"/>
          <cell r="CS141"/>
          <cell r="CT141"/>
          <cell r="CU141"/>
          <cell r="CV141"/>
          <cell r="CW141"/>
          <cell r="CX141"/>
          <cell r="CY141"/>
          <cell r="CZ141"/>
          <cell r="DA141"/>
          <cell r="DB141"/>
          <cell r="DC141"/>
          <cell r="DD141"/>
          <cell r="DE141"/>
          <cell r="DF141"/>
          <cell r="DG141"/>
          <cell r="DH141"/>
          <cell r="DI141"/>
          <cell r="DJ141"/>
          <cell r="DK141"/>
          <cell r="DL141"/>
          <cell r="DM141"/>
          <cell r="DN141"/>
          <cell r="DO141"/>
          <cell r="DP141"/>
          <cell r="DQ141"/>
          <cell r="DR141"/>
          <cell r="DS141"/>
          <cell r="DT141"/>
          <cell r="DU141"/>
          <cell r="DV141"/>
          <cell r="DW141"/>
          <cell r="DX141"/>
          <cell r="ED141"/>
          <cell r="ES141" t="str">
            <v>785C-APX7524.00.RM.0 250 SVC HOUR MAINTENANCE</v>
          </cell>
          <cell r="ET141" t="str">
            <v>785C-APX</v>
          </cell>
          <cell r="EV141" t="str">
            <v>7524.00.RM.0 250 SVC HOUR MAINTENANCE</v>
          </cell>
          <cell r="EW141">
            <v>248.7</v>
          </cell>
          <cell r="EX141">
            <v>130</v>
          </cell>
        </row>
        <row r="142">
          <cell r="N142"/>
          <cell r="O142"/>
          <cell r="P142"/>
          <cell r="Q142"/>
          <cell r="R142"/>
          <cell r="S142"/>
          <cell r="T142"/>
          <cell r="U142"/>
          <cell r="V142"/>
          <cell r="W142"/>
          <cell r="X142"/>
          <cell r="Y142"/>
          <cell r="Z142"/>
          <cell r="AA142"/>
          <cell r="AB142"/>
          <cell r="AC142"/>
          <cell r="AD142"/>
          <cell r="AE142"/>
          <cell r="AF142"/>
          <cell r="AG142"/>
          <cell r="AH142"/>
          <cell r="AI142"/>
          <cell r="AJ142"/>
          <cell r="AK142"/>
          <cell r="AL142"/>
          <cell r="AM142"/>
          <cell r="AN142"/>
          <cell r="AO142"/>
          <cell r="AP142"/>
          <cell r="AQ142"/>
          <cell r="AR142"/>
          <cell r="AS142"/>
          <cell r="AT142"/>
          <cell r="AU142"/>
          <cell r="AV142"/>
          <cell r="AW142"/>
          <cell r="AX142"/>
          <cell r="AY142"/>
          <cell r="AZ142"/>
          <cell r="BA142"/>
          <cell r="BB142"/>
          <cell r="BC142"/>
          <cell r="BD142"/>
          <cell r="BE142"/>
          <cell r="BF142"/>
          <cell r="BG142"/>
          <cell r="BH142"/>
          <cell r="BI142"/>
          <cell r="BJ142"/>
          <cell r="BK142"/>
          <cell r="BL142"/>
          <cell r="BM142"/>
          <cell r="BN142"/>
          <cell r="BO142"/>
          <cell r="BP142"/>
          <cell r="BQ142"/>
          <cell r="BR142"/>
          <cell r="BS142"/>
          <cell r="BT142"/>
          <cell r="BU142"/>
          <cell r="BV142"/>
          <cell r="BW142"/>
          <cell r="BX142"/>
          <cell r="BY142"/>
          <cell r="BZ142"/>
          <cell r="CA142"/>
          <cell r="CB142"/>
          <cell r="CC142"/>
          <cell r="CD142"/>
          <cell r="CE142"/>
          <cell r="CF142"/>
          <cell r="CG142"/>
          <cell r="CH142"/>
          <cell r="CI142"/>
          <cell r="CJ142"/>
          <cell r="CK142"/>
          <cell r="CL142"/>
          <cell r="CM142"/>
          <cell r="CN142"/>
          <cell r="CO142"/>
          <cell r="CP142"/>
          <cell r="CQ142"/>
          <cell r="CR142"/>
          <cell r="CS142"/>
          <cell r="CT142"/>
          <cell r="CU142"/>
          <cell r="CV142"/>
          <cell r="CW142"/>
          <cell r="CX142"/>
          <cell r="CY142"/>
          <cell r="CZ142"/>
          <cell r="DA142"/>
          <cell r="DB142"/>
          <cell r="DC142"/>
          <cell r="DD142"/>
          <cell r="DE142"/>
          <cell r="DF142"/>
          <cell r="DG142"/>
          <cell r="DH142"/>
          <cell r="DI142"/>
          <cell r="DJ142"/>
          <cell r="DK142"/>
          <cell r="DL142"/>
          <cell r="DM142"/>
          <cell r="DN142"/>
          <cell r="DO142"/>
          <cell r="DP142"/>
          <cell r="DQ142"/>
          <cell r="DR142"/>
          <cell r="DS142"/>
          <cell r="DT142"/>
          <cell r="DU142"/>
          <cell r="DV142"/>
          <cell r="DW142"/>
          <cell r="DX142"/>
          <cell r="ED142"/>
          <cell r="ES142" t="str">
            <v>785C-APX7525.00.PM.0 500 SVC HOUR MAINTENANCE</v>
          </cell>
          <cell r="ET142" t="str">
            <v>785C-APX</v>
          </cell>
          <cell r="EV142" t="str">
            <v>7525.00.PM.0 500 SVC HOUR MAINTENANCE</v>
          </cell>
          <cell r="EW142">
            <v>809.31</v>
          </cell>
          <cell r="EX142">
            <v>390</v>
          </cell>
        </row>
        <row r="143">
          <cell r="N143"/>
          <cell r="O143"/>
          <cell r="P143"/>
          <cell r="Q143"/>
          <cell r="R143"/>
          <cell r="S143"/>
          <cell r="T143"/>
          <cell r="U143"/>
          <cell r="V143"/>
          <cell r="W143"/>
          <cell r="X143"/>
          <cell r="Y143"/>
          <cell r="Z143"/>
          <cell r="AA143"/>
          <cell r="AB143"/>
          <cell r="AC143"/>
          <cell r="AD143"/>
          <cell r="AE143"/>
          <cell r="AF143"/>
          <cell r="AG143"/>
          <cell r="AH143"/>
          <cell r="AI143"/>
          <cell r="AJ143"/>
          <cell r="AK143"/>
          <cell r="AL143"/>
          <cell r="AM143"/>
          <cell r="AN143"/>
          <cell r="AO143"/>
          <cell r="AP143"/>
          <cell r="AQ143"/>
          <cell r="AR143"/>
          <cell r="AS143"/>
          <cell r="AT143"/>
          <cell r="AU143"/>
          <cell r="AV143"/>
          <cell r="AW143"/>
          <cell r="AX143"/>
          <cell r="AY143"/>
          <cell r="AZ143"/>
          <cell r="BA143"/>
          <cell r="BB143"/>
          <cell r="BC143"/>
          <cell r="BD143"/>
          <cell r="BE143"/>
          <cell r="BF143"/>
          <cell r="BG143"/>
          <cell r="BH143"/>
          <cell r="BI143"/>
          <cell r="BJ143"/>
          <cell r="BK143"/>
          <cell r="BL143"/>
          <cell r="BM143"/>
          <cell r="BN143"/>
          <cell r="BO143"/>
          <cell r="BP143"/>
          <cell r="BQ143"/>
          <cell r="BR143"/>
          <cell r="BS143"/>
          <cell r="BT143"/>
          <cell r="BU143"/>
          <cell r="BV143"/>
          <cell r="BW143"/>
          <cell r="BX143"/>
          <cell r="BY143"/>
          <cell r="BZ143"/>
          <cell r="CA143"/>
          <cell r="CB143"/>
          <cell r="CC143"/>
          <cell r="CD143"/>
          <cell r="CE143"/>
          <cell r="CF143"/>
          <cell r="CG143"/>
          <cell r="CH143"/>
          <cell r="CI143"/>
          <cell r="CJ143"/>
          <cell r="CK143"/>
          <cell r="CL143"/>
          <cell r="CM143"/>
          <cell r="CN143"/>
          <cell r="CO143"/>
          <cell r="CP143"/>
          <cell r="CQ143"/>
          <cell r="CR143"/>
          <cell r="CS143"/>
          <cell r="CT143"/>
          <cell r="CU143"/>
          <cell r="CV143"/>
          <cell r="CW143"/>
          <cell r="CX143"/>
          <cell r="CY143"/>
          <cell r="CZ143"/>
          <cell r="DA143"/>
          <cell r="DB143"/>
          <cell r="DC143"/>
          <cell r="DD143"/>
          <cell r="DE143"/>
          <cell r="DF143"/>
          <cell r="DG143"/>
          <cell r="DH143"/>
          <cell r="DI143"/>
          <cell r="DJ143"/>
          <cell r="DK143"/>
          <cell r="DL143"/>
          <cell r="DM143"/>
          <cell r="DN143"/>
          <cell r="DO143"/>
          <cell r="DP143"/>
          <cell r="DQ143"/>
          <cell r="DR143"/>
          <cell r="DS143"/>
          <cell r="DT143"/>
          <cell r="DU143"/>
          <cell r="DV143"/>
          <cell r="DW143"/>
          <cell r="DX143"/>
          <cell r="ED143"/>
          <cell r="ES143" t="str">
            <v>785C-APX7526.00.PM.0 1000 SVC HOUR MAINTENANCE</v>
          </cell>
          <cell r="ET143" t="str">
            <v>785C-APX</v>
          </cell>
          <cell r="EV143" t="str">
            <v>7526.00.PM.0 1000 SVC HOUR MAINTENANCE</v>
          </cell>
          <cell r="EW143">
            <v>1417.24</v>
          </cell>
          <cell r="EX143">
            <v>585</v>
          </cell>
        </row>
        <row r="144">
          <cell r="N144"/>
          <cell r="O144"/>
          <cell r="P144"/>
          <cell r="Q144"/>
          <cell r="R144"/>
          <cell r="S144"/>
          <cell r="T144"/>
          <cell r="U144"/>
          <cell r="V144"/>
          <cell r="W144"/>
          <cell r="X144"/>
          <cell r="Y144"/>
          <cell r="Z144"/>
          <cell r="AA144"/>
          <cell r="AB144"/>
          <cell r="AC144"/>
          <cell r="AD144"/>
          <cell r="AE144"/>
          <cell r="AF144"/>
          <cell r="AG144"/>
          <cell r="AH144"/>
          <cell r="AI144"/>
          <cell r="AJ144"/>
          <cell r="AK144"/>
          <cell r="AL144"/>
          <cell r="AM144"/>
          <cell r="AN144"/>
          <cell r="AO144"/>
          <cell r="AP144"/>
          <cell r="AQ144"/>
          <cell r="AR144"/>
          <cell r="AS144"/>
          <cell r="AT144"/>
          <cell r="AU144"/>
          <cell r="AV144"/>
          <cell r="AW144"/>
          <cell r="AX144"/>
          <cell r="AY144"/>
          <cell r="AZ144"/>
          <cell r="BA144"/>
          <cell r="BB144"/>
          <cell r="BC144"/>
          <cell r="BD144"/>
          <cell r="BE144"/>
          <cell r="BF144"/>
          <cell r="BG144"/>
          <cell r="BH144"/>
          <cell r="BI144"/>
          <cell r="BJ144"/>
          <cell r="BK144"/>
          <cell r="BL144"/>
          <cell r="BM144"/>
          <cell r="BN144"/>
          <cell r="BO144"/>
          <cell r="BP144"/>
          <cell r="BQ144"/>
          <cell r="BR144"/>
          <cell r="BS144"/>
          <cell r="BT144"/>
          <cell r="BU144"/>
          <cell r="BV144"/>
          <cell r="BW144"/>
          <cell r="BX144"/>
          <cell r="BY144"/>
          <cell r="BZ144"/>
          <cell r="CA144"/>
          <cell r="CB144"/>
          <cell r="CC144"/>
          <cell r="CD144"/>
          <cell r="CE144"/>
          <cell r="CF144"/>
          <cell r="CG144"/>
          <cell r="CH144"/>
          <cell r="CI144"/>
          <cell r="CJ144"/>
          <cell r="CK144"/>
          <cell r="CL144"/>
          <cell r="CM144"/>
          <cell r="CN144"/>
          <cell r="CO144"/>
          <cell r="CP144"/>
          <cell r="CQ144"/>
          <cell r="CR144"/>
          <cell r="CS144"/>
          <cell r="CT144"/>
          <cell r="CU144"/>
          <cell r="CV144"/>
          <cell r="CW144"/>
          <cell r="CX144"/>
          <cell r="CY144"/>
          <cell r="CZ144"/>
          <cell r="DA144"/>
          <cell r="DB144"/>
          <cell r="DC144"/>
          <cell r="DD144"/>
          <cell r="DE144"/>
          <cell r="DF144"/>
          <cell r="DG144"/>
          <cell r="DH144"/>
          <cell r="DI144"/>
          <cell r="DJ144"/>
          <cell r="DK144"/>
          <cell r="DL144"/>
          <cell r="DM144"/>
          <cell r="DN144"/>
          <cell r="DO144"/>
          <cell r="DP144"/>
          <cell r="DQ144"/>
          <cell r="DR144"/>
          <cell r="DS144"/>
          <cell r="DT144"/>
          <cell r="DU144"/>
          <cell r="DV144"/>
          <cell r="DW144"/>
          <cell r="DX144"/>
          <cell r="ED144"/>
          <cell r="ES144" t="str">
            <v>785C-APX7527.00.PM.0 2000 SVC HOUR MAINTENANCE</v>
          </cell>
          <cell r="ET144" t="str">
            <v>785C-APX</v>
          </cell>
          <cell r="EV144" t="str">
            <v>7527.00.PM.0 2000 SVC HOUR MAINTENANCE</v>
          </cell>
          <cell r="EW144">
            <v>1451.66</v>
          </cell>
          <cell r="EX144">
            <v>1040</v>
          </cell>
        </row>
        <row r="145">
          <cell r="N145"/>
          <cell r="O145"/>
          <cell r="P145"/>
          <cell r="Q145"/>
          <cell r="R145"/>
          <cell r="S145"/>
          <cell r="T145"/>
          <cell r="U145"/>
          <cell r="V145"/>
          <cell r="W145"/>
          <cell r="X145"/>
          <cell r="Y145"/>
          <cell r="Z145"/>
          <cell r="AA145"/>
          <cell r="AB145"/>
          <cell r="AC145"/>
          <cell r="AD145"/>
          <cell r="AE145"/>
          <cell r="AF145"/>
          <cell r="AG145"/>
          <cell r="AH145"/>
          <cell r="AI145"/>
          <cell r="AJ145"/>
          <cell r="AK145"/>
          <cell r="AL145"/>
          <cell r="AM145"/>
          <cell r="AN145"/>
          <cell r="AO145"/>
          <cell r="AP145"/>
          <cell r="AQ145"/>
          <cell r="AR145"/>
          <cell r="AS145"/>
          <cell r="AT145"/>
          <cell r="AU145"/>
          <cell r="AV145"/>
          <cell r="AW145"/>
          <cell r="AX145"/>
          <cell r="AY145"/>
          <cell r="AZ145"/>
          <cell r="BA145"/>
          <cell r="BB145"/>
          <cell r="BC145"/>
          <cell r="BD145"/>
          <cell r="BE145"/>
          <cell r="BF145"/>
          <cell r="BG145"/>
          <cell r="BH145"/>
          <cell r="BI145"/>
          <cell r="BJ145"/>
          <cell r="BK145"/>
          <cell r="BL145"/>
          <cell r="BM145"/>
          <cell r="BN145"/>
          <cell r="BO145"/>
          <cell r="BP145"/>
          <cell r="BQ145"/>
          <cell r="BR145"/>
          <cell r="BS145"/>
          <cell r="BT145"/>
          <cell r="BU145"/>
          <cell r="BV145"/>
          <cell r="BW145"/>
          <cell r="BX145"/>
          <cell r="BY145"/>
          <cell r="BZ145"/>
          <cell r="CA145"/>
          <cell r="CB145"/>
          <cell r="CC145"/>
          <cell r="CD145"/>
          <cell r="CE145"/>
          <cell r="CF145"/>
          <cell r="CG145"/>
          <cell r="CH145"/>
          <cell r="CI145"/>
          <cell r="CJ145"/>
          <cell r="CK145"/>
          <cell r="CL145"/>
          <cell r="CM145"/>
          <cell r="CN145"/>
          <cell r="CO145"/>
          <cell r="CP145"/>
          <cell r="CQ145"/>
          <cell r="CR145"/>
          <cell r="CS145"/>
          <cell r="CT145"/>
          <cell r="CU145"/>
          <cell r="CV145"/>
          <cell r="CW145"/>
          <cell r="CX145"/>
          <cell r="CY145"/>
          <cell r="CZ145"/>
          <cell r="DA145"/>
          <cell r="DB145"/>
          <cell r="DC145"/>
          <cell r="DD145"/>
          <cell r="DE145"/>
          <cell r="DF145"/>
          <cell r="DG145"/>
          <cell r="DH145"/>
          <cell r="DI145"/>
          <cell r="DJ145"/>
          <cell r="DK145"/>
          <cell r="DL145"/>
          <cell r="DM145"/>
          <cell r="DN145"/>
          <cell r="DO145"/>
          <cell r="DP145"/>
          <cell r="DQ145"/>
          <cell r="DR145"/>
          <cell r="DS145"/>
          <cell r="DT145"/>
          <cell r="DU145"/>
          <cell r="DV145"/>
          <cell r="DW145"/>
          <cell r="DX145"/>
          <cell r="ED145"/>
          <cell r="ES145" t="str">
            <v>785C-APX7540.00.GR.0 AUTOMATIC LUBRICATION SYSTEM</v>
          </cell>
          <cell r="ET145" t="str">
            <v>785C-APX</v>
          </cell>
          <cell r="EV145" t="str">
            <v>7540.00.GR.0 AUTOMATIC LUBRICATION SYSTEM</v>
          </cell>
          <cell r="EW145">
            <v>5279.1405000000004</v>
          </cell>
          <cell r="EX145">
            <v>390</v>
          </cell>
        </row>
        <row r="146">
          <cell r="N146"/>
          <cell r="O146"/>
          <cell r="P146"/>
          <cell r="Q146"/>
          <cell r="R146"/>
          <cell r="S146"/>
          <cell r="T146"/>
          <cell r="U146"/>
          <cell r="V146"/>
          <cell r="W146"/>
          <cell r="X146"/>
          <cell r="Y146"/>
          <cell r="Z146"/>
          <cell r="AA146"/>
          <cell r="AB146"/>
          <cell r="AC146"/>
          <cell r="AD146"/>
          <cell r="AE146"/>
          <cell r="AF146"/>
          <cell r="AG146"/>
          <cell r="AH146"/>
          <cell r="AI146"/>
          <cell r="AJ146"/>
          <cell r="AK146"/>
          <cell r="AL146"/>
          <cell r="AM146"/>
          <cell r="AN146"/>
          <cell r="AO146"/>
          <cell r="AP146"/>
          <cell r="AQ146"/>
          <cell r="AR146"/>
          <cell r="AS146"/>
          <cell r="AT146"/>
          <cell r="AU146"/>
          <cell r="AV146"/>
          <cell r="AW146"/>
          <cell r="AX146"/>
          <cell r="AY146"/>
          <cell r="AZ146"/>
          <cell r="BA146"/>
          <cell r="BB146"/>
          <cell r="BC146"/>
          <cell r="BD146"/>
          <cell r="BE146"/>
          <cell r="BF146"/>
          <cell r="BG146"/>
          <cell r="BH146"/>
          <cell r="BI146"/>
          <cell r="BJ146"/>
          <cell r="BK146"/>
          <cell r="BL146"/>
          <cell r="BM146"/>
          <cell r="BN146"/>
          <cell r="BO146"/>
          <cell r="BP146"/>
          <cell r="BQ146"/>
          <cell r="BR146"/>
          <cell r="BS146"/>
          <cell r="BT146"/>
          <cell r="BU146"/>
          <cell r="BV146"/>
          <cell r="BW146"/>
          <cell r="BX146"/>
          <cell r="BY146"/>
          <cell r="BZ146"/>
          <cell r="CA146"/>
          <cell r="CB146"/>
          <cell r="CC146"/>
          <cell r="CD146"/>
          <cell r="CE146"/>
          <cell r="CF146"/>
          <cell r="CG146"/>
          <cell r="CH146"/>
          <cell r="CI146"/>
          <cell r="CJ146"/>
          <cell r="CK146"/>
          <cell r="CL146"/>
          <cell r="CM146"/>
          <cell r="CN146"/>
          <cell r="CO146"/>
          <cell r="CP146"/>
          <cell r="CQ146"/>
          <cell r="CR146"/>
          <cell r="CS146"/>
          <cell r="CT146"/>
          <cell r="CU146"/>
          <cell r="CV146"/>
          <cell r="CW146"/>
          <cell r="CX146"/>
          <cell r="CY146"/>
          <cell r="CZ146"/>
          <cell r="DA146"/>
          <cell r="DB146"/>
          <cell r="DC146"/>
          <cell r="DD146"/>
          <cell r="DE146"/>
          <cell r="DF146"/>
          <cell r="DG146"/>
          <cell r="DH146"/>
          <cell r="DI146"/>
          <cell r="DJ146"/>
          <cell r="DK146"/>
          <cell r="DL146"/>
          <cell r="DM146"/>
          <cell r="DN146"/>
          <cell r="DO146"/>
          <cell r="DP146"/>
          <cell r="DQ146"/>
          <cell r="DR146"/>
          <cell r="DS146"/>
          <cell r="DT146"/>
          <cell r="DU146"/>
          <cell r="DV146"/>
          <cell r="DW146"/>
          <cell r="DX146"/>
          <cell r="ED146"/>
          <cell r="ES146" t="str">
            <v>785C-APX7600.00.GR.0 MACHINE ELECTRONIC CONTROL AND DMS</v>
          </cell>
          <cell r="ET146" t="str">
            <v>785C-APX</v>
          </cell>
          <cell r="EV146" t="str">
            <v>7600.00.GR.0 MACHINE ELECTRONIC CONTROL AND DMS</v>
          </cell>
          <cell r="EW146">
            <v>1581.1279999999999</v>
          </cell>
          <cell r="EX146">
            <v>390</v>
          </cell>
        </row>
        <row r="147">
          <cell r="N147"/>
          <cell r="O147"/>
          <cell r="P147"/>
          <cell r="Q147"/>
          <cell r="R147"/>
          <cell r="S147"/>
          <cell r="T147"/>
          <cell r="U147"/>
          <cell r="V147"/>
          <cell r="W147"/>
          <cell r="X147"/>
          <cell r="Y147"/>
          <cell r="Z147"/>
          <cell r="AA147"/>
          <cell r="AB147"/>
          <cell r="AC147"/>
          <cell r="AD147"/>
          <cell r="AE147"/>
          <cell r="AF147"/>
          <cell r="AG147"/>
          <cell r="AH147"/>
          <cell r="AI147"/>
          <cell r="AJ147"/>
          <cell r="AK147"/>
          <cell r="AL147"/>
          <cell r="AM147"/>
          <cell r="AN147"/>
          <cell r="AO147"/>
          <cell r="AP147"/>
          <cell r="AQ147"/>
          <cell r="AR147"/>
          <cell r="AS147"/>
          <cell r="AT147"/>
          <cell r="AU147"/>
          <cell r="AV147"/>
          <cell r="AW147"/>
          <cell r="AX147"/>
          <cell r="AY147"/>
          <cell r="AZ147"/>
          <cell r="BA147"/>
          <cell r="BB147"/>
          <cell r="BC147"/>
          <cell r="BD147"/>
          <cell r="BE147"/>
          <cell r="BF147"/>
          <cell r="BG147"/>
          <cell r="BH147"/>
          <cell r="BI147"/>
          <cell r="BJ147"/>
          <cell r="BK147"/>
          <cell r="BL147"/>
          <cell r="BM147"/>
          <cell r="BN147"/>
          <cell r="BO147"/>
          <cell r="BP147"/>
          <cell r="BQ147"/>
          <cell r="BR147"/>
          <cell r="BS147"/>
          <cell r="BT147"/>
          <cell r="BU147"/>
          <cell r="BV147"/>
          <cell r="BW147"/>
          <cell r="BX147"/>
          <cell r="BY147"/>
          <cell r="BZ147"/>
          <cell r="CA147"/>
          <cell r="CB147"/>
          <cell r="CC147"/>
          <cell r="CD147"/>
          <cell r="CE147"/>
          <cell r="CF147"/>
          <cell r="CG147"/>
          <cell r="CH147"/>
          <cell r="CI147"/>
          <cell r="CJ147"/>
          <cell r="CK147"/>
          <cell r="CL147"/>
          <cell r="CM147"/>
          <cell r="CN147"/>
          <cell r="CO147"/>
          <cell r="CP147"/>
          <cell r="CQ147"/>
          <cell r="CR147"/>
          <cell r="CS147"/>
          <cell r="CT147"/>
          <cell r="CU147"/>
          <cell r="CV147"/>
          <cell r="CW147"/>
          <cell r="CX147"/>
          <cell r="CY147"/>
          <cell r="CZ147"/>
          <cell r="DA147"/>
          <cell r="DB147"/>
          <cell r="DC147"/>
          <cell r="DD147"/>
          <cell r="DE147"/>
          <cell r="DF147"/>
          <cell r="DG147"/>
          <cell r="DH147"/>
          <cell r="DI147"/>
          <cell r="DJ147"/>
          <cell r="DK147"/>
          <cell r="DL147"/>
          <cell r="DM147"/>
          <cell r="DN147"/>
          <cell r="DO147"/>
          <cell r="DP147"/>
          <cell r="DQ147"/>
          <cell r="DR147"/>
          <cell r="DS147"/>
          <cell r="DT147"/>
          <cell r="DU147"/>
          <cell r="DV147"/>
          <cell r="DW147"/>
          <cell r="DX147"/>
          <cell r="ED147"/>
          <cell r="ES147" t="str">
            <v>785C-APX9074.00.GR.0 MARC STANDBY ELPH</v>
          </cell>
          <cell r="ET147" t="str">
            <v>785C-APX</v>
          </cell>
          <cell r="EV147" t="str">
            <v>9074.00.GR.0 MARC STANDBY ELPH</v>
          </cell>
          <cell r="EW147">
            <v>0</v>
          </cell>
          <cell r="EX147">
            <v>500</v>
          </cell>
        </row>
        <row r="148">
          <cell r="N148"/>
          <cell r="O148"/>
          <cell r="P148"/>
          <cell r="Q148"/>
          <cell r="R148"/>
          <cell r="S148"/>
          <cell r="T148"/>
          <cell r="U148"/>
          <cell r="V148"/>
          <cell r="W148"/>
          <cell r="X148"/>
          <cell r="Y148"/>
          <cell r="Z148"/>
          <cell r="AA148"/>
          <cell r="AB148"/>
          <cell r="AC148"/>
          <cell r="AD148"/>
          <cell r="AE148"/>
          <cell r="AF148"/>
          <cell r="AG148"/>
          <cell r="AH148"/>
          <cell r="AI148"/>
          <cell r="AJ148"/>
          <cell r="AK148"/>
          <cell r="AL148"/>
          <cell r="AM148"/>
          <cell r="AN148"/>
          <cell r="AO148"/>
          <cell r="AP148"/>
          <cell r="AQ148"/>
          <cell r="AR148"/>
          <cell r="AS148"/>
          <cell r="AT148"/>
          <cell r="AU148"/>
          <cell r="AV148"/>
          <cell r="AW148"/>
          <cell r="AX148"/>
          <cell r="AY148"/>
          <cell r="AZ148"/>
          <cell r="BA148"/>
          <cell r="BB148"/>
          <cell r="BC148"/>
          <cell r="BD148"/>
          <cell r="BE148"/>
          <cell r="BF148"/>
          <cell r="BG148"/>
          <cell r="BH148"/>
          <cell r="BI148"/>
          <cell r="BJ148"/>
          <cell r="BK148"/>
          <cell r="BL148"/>
          <cell r="BM148"/>
          <cell r="BN148"/>
          <cell r="BO148"/>
          <cell r="BP148"/>
          <cell r="BQ148"/>
          <cell r="BR148"/>
          <cell r="BS148"/>
          <cell r="BT148"/>
          <cell r="BU148"/>
          <cell r="BV148"/>
          <cell r="BW148"/>
          <cell r="BX148"/>
          <cell r="BY148"/>
          <cell r="BZ148"/>
          <cell r="CA148"/>
          <cell r="CB148"/>
          <cell r="CC148"/>
          <cell r="CD148"/>
          <cell r="CE148"/>
          <cell r="CF148"/>
          <cell r="CG148"/>
          <cell r="CH148"/>
          <cell r="CI148"/>
          <cell r="CJ148"/>
          <cell r="CK148"/>
          <cell r="CL148"/>
          <cell r="CM148"/>
          <cell r="CN148"/>
          <cell r="CO148"/>
          <cell r="CP148"/>
          <cell r="CQ148"/>
          <cell r="CR148"/>
          <cell r="CS148"/>
          <cell r="CT148"/>
          <cell r="CU148"/>
          <cell r="CV148"/>
          <cell r="CW148"/>
          <cell r="CX148"/>
          <cell r="CY148"/>
          <cell r="CZ148"/>
          <cell r="DA148"/>
          <cell r="DB148"/>
          <cell r="DC148"/>
          <cell r="DD148"/>
          <cell r="DE148"/>
          <cell r="DF148"/>
          <cell r="DG148"/>
          <cell r="DH148"/>
          <cell r="DI148"/>
          <cell r="DJ148"/>
          <cell r="DK148"/>
          <cell r="DL148"/>
          <cell r="DM148"/>
          <cell r="DN148"/>
          <cell r="DO148"/>
          <cell r="DP148"/>
          <cell r="DQ148"/>
          <cell r="DR148"/>
          <cell r="DS148"/>
          <cell r="DT148"/>
          <cell r="DU148"/>
          <cell r="DV148"/>
          <cell r="DW148"/>
          <cell r="DX148"/>
          <cell r="ED148"/>
          <cell r="ES148" t="str">
            <v>785C-APX9074.DMR.GR.0 MARC STANDBY ELPH</v>
          </cell>
          <cell r="ET148" t="str">
            <v>785C-APX</v>
          </cell>
          <cell r="EV148" t="str">
            <v>9074.DMR.GR.0 MARC STANDBY ELPH</v>
          </cell>
          <cell r="EW148">
            <v>0</v>
          </cell>
          <cell r="EX148">
            <v>0</v>
          </cell>
        </row>
        <row r="149">
          <cell r="N149"/>
          <cell r="O149"/>
          <cell r="P149"/>
          <cell r="Q149"/>
          <cell r="R149"/>
          <cell r="S149"/>
          <cell r="T149"/>
          <cell r="U149"/>
          <cell r="V149"/>
          <cell r="W149"/>
          <cell r="X149"/>
          <cell r="Y149"/>
          <cell r="Z149"/>
          <cell r="AA149"/>
          <cell r="AB149"/>
          <cell r="AC149"/>
          <cell r="AD149"/>
          <cell r="AE149"/>
          <cell r="AF149"/>
          <cell r="AG149"/>
          <cell r="AH149"/>
          <cell r="AI149"/>
          <cell r="AJ149"/>
          <cell r="AK149"/>
          <cell r="AL149"/>
          <cell r="AM149"/>
          <cell r="AN149"/>
          <cell r="AO149"/>
          <cell r="AP149"/>
          <cell r="AQ149"/>
          <cell r="AR149"/>
          <cell r="AS149"/>
          <cell r="AT149"/>
          <cell r="AU149"/>
          <cell r="AV149"/>
          <cell r="AW149"/>
          <cell r="AX149"/>
          <cell r="AY149"/>
          <cell r="AZ149"/>
          <cell r="BA149"/>
          <cell r="BB149"/>
          <cell r="BC149"/>
          <cell r="BD149"/>
          <cell r="BE149"/>
          <cell r="BF149"/>
          <cell r="BG149"/>
          <cell r="BH149"/>
          <cell r="BI149"/>
          <cell r="BJ149"/>
          <cell r="BK149"/>
          <cell r="BL149"/>
          <cell r="BM149"/>
          <cell r="BN149"/>
          <cell r="BO149"/>
          <cell r="BP149"/>
          <cell r="BQ149"/>
          <cell r="BR149"/>
          <cell r="BS149"/>
          <cell r="BT149"/>
          <cell r="BU149"/>
          <cell r="BV149"/>
          <cell r="BW149"/>
          <cell r="BX149"/>
          <cell r="BY149"/>
          <cell r="BZ149"/>
          <cell r="CA149"/>
          <cell r="CB149"/>
          <cell r="CC149"/>
          <cell r="CD149"/>
          <cell r="CE149"/>
          <cell r="CF149"/>
          <cell r="CG149"/>
          <cell r="CH149"/>
          <cell r="CI149"/>
          <cell r="CJ149"/>
          <cell r="CK149"/>
          <cell r="CL149"/>
          <cell r="CM149"/>
          <cell r="CN149"/>
          <cell r="CO149"/>
          <cell r="CP149"/>
          <cell r="CQ149"/>
          <cell r="CR149"/>
          <cell r="CS149"/>
          <cell r="CT149"/>
          <cell r="CU149"/>
          <cell r="CV149"/>
          <cell r="CW149"/>
          <cell r="CX149"/>
          <cell r="CY149"/>
          <cell r="CZ149"/>
          <cell r="DA149"/>
          <cell r="DB149"/>
          <cell r="DC149"/>
          <cell r="DD149"/>
          <cell r="DE149"/>
          <cell r="DF149"/>
          <cell r="DG149"/>
          <cell r="DH149"/>
          <cell r="DI149"/>
          <cell r="DJ149"/>
          <cell r="DK149"/>
          <cell r="DL149"/>
          <cell r="DM149"/>
          <cell r="DN149"/>
          <cell r="DO149"/>
          <cell r="DP149"/>
          <cell r="DQ149"/>
          <cell r="DR149"/>
          <cell r="DS149"/>
          <cell r="DT149"/>
          <cell r="DU149"/>
          <cell r="DV149"/>
          <cell r="DW149"/>
          <cell r="DX149"/>
          <cell r="ED149"/>
          <cell r="ES149" t="str">
            <v>785C-APX9074.DWF.GR.0 MARC STANDBY ELPH</v>
          </cell>
          <cell r="ET149" t="str">
            <v>785C-APX</v>
          </cell>
          <cell r="EV149" t="str">
            <v>9074.DWF.GR.0 MARC STANDBY ELPH</v>
          </cell>
          <cell r="EW149">
            <v>0</v>
          </cell>
          <cell r="EX149">
            <v>0</v>
          </cell>
        </row>
        <row r="150">
          <cell r="N150"/>
          <cell r="O150"/>
          <cell r="P150"/>
          <cell r="Q150"/>
          <cell r="R150"/>
          <cell r="S150"/>
          <cell r="T150"/>
          <cell r="U150"/>
          <cell r="V150"/>
          <cell r="W150"/>
          <cell r="X150"/>
          <cell r="Y150"/>
          <cell r="Z150"/>
          <cell r="AA150"/>
          <cell r="AB150"/>
          <cell r="AC150"/>
          <cell r="AD150"/>
          <cell r="AE150"/>
          <cell r="AF150"/>
          <cell r="AG150"/>
          <cell r="AH150"/>
          <cell r="AI150"/>
          <cell r="AJ150"/>
          <cell r="AK150"/>
          <cell r="AL150"/>
          <cell r="AM150"/>
          <cell r="AN150"/>
          <cell r="AO150"/>
          <cell r="AP150"/>
          <cell r="AQ150"/>
          <cell r="AR150"/>
          <cell r="AS150"/>
          <cell r="AT150"/>
          <cell r="AU150"/>
          <cell r="AV150"/>
          <cell r="AW150"/>
          <cell r="AX150"/>
          <cell r="AY150"/>
          <cell r="AZ150"/>
          <cell r="BA150"/>
          <cell r="BB150"/>
          <cell r="BC150"/>
          <cell r="BD150"/>
          <cell r="BE150"/>
          <cell r="BF150"/>
          <cell r="BG150"/>
          <cell r="BH150"/>
          <cell r="BI150"/>
          <cell r="BJ150"/>
          <cell r="BK150"/>
          <cell r="BL150"/>
          <cell r="BM150"/>
          <cell r="BN150"/>
          <cell r="BO150"/>
          <cell r="BP150"/>
          <cell r="BQ150"/>
          <cell r="BR150"/>
          <cell r="BS150"/>
          <cell r="BT150"/>
          <cell r="BU150"/>
          <cell r="BV150"/>
          <cell r="BW150"/>
          <cell r="BX150"/>
          <cell r="BY150"/>
          <cell r="BZ150"/>
          <cell r="CA150"/>
          <cell r="CB150"/>
          <cell r="CC150"/>
          <cell r="CD150"/>
          <cell r="CE150"/>
          <cell r="CF150"/>
          <cell r="CG150"/>
          <cell r="CH150"/>
          <cell r="CI150"/>
          <cell r="CJ150"/>
          <cell r="CK150"/>
          <cell r="CL150"/>
          <cell r="CM150"/>
          <cell r="CN150"/>
          <cell r="CO150"/>
          <cell r="CP150"/>
          <cell r="CQ150"/>
          <cell r="CR150"/>
          <cell r="CS150"/>
          <cell r="CT150"/>
          <cell r="CU150"/>
          <cell r="CV150"/>
          <cell r="CW150"/>
          <cell r="CX150"/>
          <cell r="CY150"/>
          <cell r="CZ150"/>
          <cell r="DA150"/>
          <cell r="DB150"/>
          <cell r="DC150"/>
          <cell r="DD150"/>
          <cell r="DE150"/>
          <cell r="DF150"/>
          <cell r="DG150"/>
          <cell r="DH150"/>
          <cell r="DI150"/>
          <cell r="DJ150"/>
          <cell r="DK150"/>
          <cell r="DL150"/>
          <cell r="DM150"/>
          <cell r="DN150"/>
          <cell r="DO150"/>
          <cell r="DP150"/>
          <cell r="DQ150"/>
          <cell r="DR150"/>
          <cell r="DS150"/>
          <cell r="DT150"/>
          <cell r="DU150"/>
          <cell r="DV150"/>
          <cell r="DW150"/>
          <cell r="DX150"/>
          <cell r="ED150"/>
          <cell r="ES150" t="str">
            <v>785C-APX9074.DWP.GR.0 MARC STANDBY ELPH</v>
          </cell>
          <cell r="ET150" t="str">
            <v>785C-APX</v>
          </cell>
          <cell r="EV150" t="str">
            <v>9074.DWP.GR.0 MARC STANDBY ELPH</v>
          </cell>
          <cell r="EW150">
            <v>0</v>
          </cell>
          <cell r="EX150">
            <v>0</v>
          </cell>
        </row>
        <row r="151">
          <cell r="N151"/>
          <cell r="O151"/>
          <cell r="P151"/>
          <cell r="Q151"/>
          <cell r="R151"/>
          <cell r="S151"/>
          <cell r="T151"/>
          <cell r="U151"/>
          <cell r="V151"/>
          <cell r="W151"/>
          <cell r="X151"/>
          <cell r="Y151"/>
          <cell r="Z151"/>
          <cell r="AA151"/>
          <cell r="AB151"/>
          <cell r="AC151"/>
          <cell r="AD151"/>
          <cell r="AE151"/>
          <cell r="AF151"/>
          <cell r="AG151"/>
          <cell r="AH151"/>
          <cell r="AI151"/>
          <cell r="AJ151"/>
          <cell r="AK151"/>
          <cell r="AL151"/>
          <cell r="AM151"/>
          <cell r="AN151"/>
          <cell r="AO151"/>
          <cell r="AP151"/>
          <cell r="AQ151"/>
          <cell r="AR151"/>
          <cell r="AS151"/>
          <cell r="AT151"/>
          <cell r="AU151"/>
          <cell r="AV151"/>
          <cell r="AW151"/>
          <cell r="AX151"/>
          <cell r="AY151"/>
          <cell r="AZ151"/>
          <cell r="BA151"/>
          <cell r="BB151"/>
          <cell r="BC151"/>
          <cell r="BD151"/>
          <cell r="BE151"/>
          <cell r="BF151"/>
          <cell r="BG151"/>
          <cell r="BH151"/>
          <cell r="BI151"/>
          <cell r="BJ151"/>
          <cell r="BK151"/>
          <cell r="BL151"/>
          <cell r="BM151"/>
          <cell r="BN151"/>
          <cell r="BO151"/>
          <cell r="BP151"/>
          <cell r="BQ151"/>
          <cell r="BR151"/>
          <cell r="BS151"/>
          <cell r="BT151"/>
          <cell r="BU151"/>
          <cell r="BV151"/>
          <cell r="BW151"/>
          <cell r="BX151"/>
          <cell r="BY151"/>
          <cell r="BZ151"/>
          <cell r="CA151"/>
          <cell r="CB151"/>
          <cell r="CC151"/>
          <cell r="CD151"/>
          <cell r="CE151"/>
          <cell r="CF151"/>
          <cell r="CG151"/>
          <cell r="CH151"/>
          <cell r="CI151"/>
          <cell r="CJ151"/>
          <cell r="CK151"/>
          <cell r="CL151"/>
          <cell r="CM151"/>
          <cell r="CN151"/>
          <cell r="CO151"/>
          <cell r="CP151"/>
          <cell r="CQ151"/>
          <cell r="CR151"/>
          <cell r="CS151"/>
          <cell r="CT151"/>
          <cell r="CU151"/>
          <cell r="CV151"/>
          <cell r="CW151"/>
          <cell r="CX151"/>
          <cell r="CY151"/>
          <cell r="CZ151"/>
          <cell r="DA151"/>
          <cell r="DB151"/>
          <cell r="DC151"/>
          <cell r="DD151"/>
          <cell r="DE151"/>
          <cell r="DF151"/>
          <cell r="DG151"/>
          <cell r="DH151"/>
          <cell r="DI151"/>
          <cell r="DJ151"/>
          <cell r="DK151"/>
          <cell r="DL151"/>
          <cell r="DM151"/>
          <cell r="DN151"/>
          <cell r="DO151"/>
          <cell r="DP151"/>
          <cell r="DQ151"/>
          <cell r="DR151"/>
          <cell r="DS151"/>
          <cell r="DT151"/>
          <cell r="DU151"/>
          <cell r="DV151"/>
          <cell r="DW151"/>
          <cell r="DX151"/>
          <cell r="ED151"/>
          <cell r="ES151" t="str">
            <v>785C-APX9074.UL.GR.0 MARC STANDBY ELPH</v>
          </cell>
          <cell r="ET151" t="str">
            <v>785C-APX</v>
          </cell>
          <cell r="EV151" t="str">
            <v>9074.UL.GR.0 MARC STANDBY ELPH</v>
          </cell>
          <cell r="EW151">
            <v>0</v>
          </cell>
          <cell r="EX151">
            <v>0</v>
          </cell>
        </row>
        <row r="152">
          <cell r="N152"/>
          <cell r="O152"/>
          <cell r="P152"/>
          <cell r="Q152"/>
          <cell r="R152"/>
          <cell r="S152"/>
          <cell r="T152"/>
          <cell r="U152"/>
          <cell r="V152"/>
          <cell r="W152"/>
          <cell r="X152"/>
          <cell r="Y152"/>
          <cell r="Z152"/>
          <cell r="AA152"/>
          <cell r="AB152"/>
          <cell r="AC152"/>
          <cell r="AD152"/>
          <cell r="AE152"/>
          <cell r="AF152"/>
          <cell r="AG152"/>
          <cell r="AH152"/>
          <cell r="AI152"/>
          <cell r="AJ152"/>
          <cell r="AK152"/>
          <cell r="AL152"/>
          <cell r="AM152"/>
          <cell r="AN152"/>
          <cell r="AO152"/>
          <cell r="AP152"/>
          <cell r="AQ152"/>
          <cell r="AR152"/>
          <cell r="AS152"/>
          <cell r="AT152"/>
          <cell r="AU152"/>
          <cell r="AV152"/>
          <cell r="AW152"/>
          <cell r="AX152"/>
          <cell r="AY152"/>
          <cell r="AZ152"/>
          <cell r="BA152"/>
          <cell r="BB152"/>
          <cell r="BC152"/>
          <cell r="BD152"/>
          <cell r="BE152"/>
          <cell r="BF152"/>
          <cell r="BG152"/>
          <cell r="BH152"/>
          <cell r="BI152"/>
          <cell r="BJ152"/>
          <cell r="BK152"/>
          <cell r="BL152"/>
          <cell r="BM152"/>
          <cell r="BN152"/>
          <cell r="BO152"/>
          <cell r="BP152"/>
          <cell r="BQ152"/>
          <cell r="BR152"/>
          <cell r="BS152"/>
          <cell r="BT152"/>
          <cell r="BU152"/>
          <cell r="BV152"/>
          <cell r="BW152"/>
          <cell r="BX152"/>
          <cell r="BY152"/>
          <cell r="BZ152"/>
          <cell r="CA152"/>
          <cell r="CB152"/>
          <cell r="CC152"/>
          <cell r="CD152"/>
          <cell r="CE152"/>
          <cell r="CF152"/>
          <cell r="CG152"/>
          <cell r="CH152"/>
          <cell r="CI152"/>
          <cell r="CJ152"/>
          <cell r="CK152"/>
          <cell r="CL152"/>
          <cell r="CM152"/>
          <cell r="CN152"/>
          <cell r="CO152"/>
          <cell r="CP152"/>
          <cell r="CQ152"/>
          <cell r="CR152"/>
          <cell r="CS152"/>
          <cell r="CT152"/>
          <cell r="CU152"/>
          <cell r="CV152"/>
          <cell r="CW152"/>
          <cell r="CX152"/>
          <cell r="CY152"/>
          <cell r="CZ152"/>
          <cell r="DA152"/>
          <cell r="DB152"/>
          <cell r="DC152"/>
          <cell r="DD152"/>
          <cell r="DE152"/>
          <cell r="DF152"/>
          <cell r="DG152"/>
          <cell r="DH152"/>
          <cell r="DI152"/>
          <cell r="DJ152"/>
          <cell r="DK152"/>
          <cell r="DL152"/>
          <cell r="DM152"/>
          <cell r="DN152"/>
          <cell r="DO152"/>
          <cell r="DP152"/>
          <cell r="DQ152"/>
          <cell r="DR152"/>
          <cell r="DS152"/>
          <cell r="DT152"/>
          <cell r="DU152"/>
          <cell r="DV152"/>
          <cell r="DW152"/>
          <cell r="DX152"/>
          <cell r="ED152"/>
          <cell r="ES152" t="str">
            <v>785C-APX9230.00.AC.0 ASA CLAIM</v>
          </cell>
          <cell r="ET152" t="str">
            <v>785C-APX</v>
          </cell>
          <cell r="EV152" t="str">
            <v>9230.00.AC.0 ASA CLAIM</v>
          </cell>
          <cell r="EW152">
            <v>0</v>
          </cell>
          <cell r="EX152">
            <v>0</v>
          </cell>
        </row>
        <row r="153">
          <cell r="N153"/>
          <cell r="O153"/>
          <cell r="P153"/>
          <cell r="Q153"/>
          <cell r="R153"/>
          <cell r="S153"/>
          <cell r="T153"/>
          <cell r="U153"/>
          <cell r="V153"/>
          <cell r="W153"/>
          <cell r="X153"/>
          <cell r="Y153"/>
          <cell r="Z153"/>
          <cell r="AA153"/>
          <cell r="AB153"/>
          <cell r="AC153"/>
          <cell r="AD153"/>
          <cell r="AE153"/>
          <cell r="AF153"/>
          <cell r="AG153"/>
          <cell r="AH153"/>
          <cell r="AI153"/>
          <cell r="AJ153"/>
          <cell r="AK153"/>
          <cell r="AL153"/>
          <cell r="AM153"/>
          <cell r="AN153"/>
          <cell r="AO153"/>
          <cell r="AP153"/>
          <cell r="AQ153"/>
          <cell r="AR153"/>
          <cell r="AS153"/>
          <cell r="AT153"/>
          <cell r="AU153"/>
          <cell r="AV153"/>
          <cell r="AW153"/>
          <cell r="AX153"/>
          <cell r="AY153"/>
          <cell r="AZ153"/>
          <cell r="BA153"/>
          <cell r="BB153"/>
          <cell r="BC153"/>
          <cell r="BD153"/>
          <cell r="BE153"/>
          <cell r="BF153"/>
          <cell r="BG153"/>
          <cell r="BH153"/>
          <cell r="BI153"/>
          <cell r="BJ153"/>
          <cell r="BK153"/>
          <cell r="BL153"/>
          <cell r="BM153"/>
          <cell r="BN153"/>
          <cell r="BO153"/>
          <cell r="BP153"/>
          <cell r="BQ153"/>
          <cell r="BR153"/>
          <cell r="BS153"/>
          <cell r="BT153"/>
          <cell r="BU153"/>
          <cell r="BV153"/>
          <cell r="BW153"/>
          <cell r="BX153"/>
          <cell r="BY153"/>
          <cell r="BZ153"/>
          <cell r="CA153"/>
          <cell r="CB153"/>
          <cell r="CC153"/>
          <cell r="CD153"/>
          <cell r="CE153"/>
          <cell r="CF153"/>
          <cell r="CG153"/>
          <cell r="CH153"/>
          <cell r="CI153"/>
          <cell r="CJ153"/>
          <cell r="CK153"/>
          <cell r="CL153"/>
          <cell r="CM153"/>
          <cell r="CN153"/>
          <cell r="CO153"/>
          <cell r="CP153"/>
          <cell r="CQ153"/>
          <cell r="CR153"/>
          <cell r="CS153"/>
          <cell r="CT153"/>
          <cell r="CU153"/>
          <cell r="CV153"/>
          <cell r="CW153"/>
          <cell r="CX153"/>
          <cell r="CY153"/>
          <cell r="CZ153"/>
          <cell r="DA153"/>
          <cell r="DB153"/>
          <cell r="DC153"/>
          <cell r="DD153"/>
          <cell r="DE153"/>
          <cell r="DF153"/>
          <cell r="DG153"/>
          <cell r="DH153"/>
          <cell r="DI153"/>
          <cell r="DJ153"/>
          <cell r="DK153"/>
          <cell r="DL153"/>
          <cell r="DM153"/>
          <cell r="DN153"/>
          <cell r="DO153"/>
          <cell r="DP153"/>
          <cell r="DQ153"/>
          <cell r="DR153"/>
          <cell r="DS153"/>
          <cell r="DT153"/>
          <cell r="DU153"/>
          <cell r="DV153"/>
          <cell r="DW153"/>
          <cell r="DX153"/>
          <cell r="ED153"/>
          <cell r="ES153" t="str">
            <v>785C-APX9402.00.CC.0 FRONT WHEEL OIL</v>
          </cell>
          <cell r="ET153" t="str">
            <v>785C-APX</v>
          </cell>
          <cell r="EV153" t="str">
            <v>9402.00.CC.0 FRONT WHEEL OIL</v>
          </cell>
          <cell r="EW153">
            <v>0</v>
          </cell>
          <cell r="EX153">
            <v>0</v>
          </cell>
        </row>
        <row r="154">
          <cell r="N154"/>
          <cell r="O154"/>
          <cell r="P154"/>
          <cell r="Q154"/>
          <cell r="R154"/>
          <cell r="S154"/>
          <cell r="T154"/>
          <cell r="U154"/>
          <cell r="V154"/>
          <cell r="W154"/>
          <cell r="X154"/>
          <cell r="Y154"/>
          <cell r="Z154"/>
          <cell r="AA154"/>
          <cell r="AB154"/>
          <cell r="AC154"/>
          <cell r="AD154"/>
          <cell r="AE154"/>
          <cell r="AF154"/>
          <cell r="AG154"/>
          <cell r="AH154"/>
          <cell r="AI154"/>
          <cell r="AJ154"/>
          <cell r="AK154"/>
          <cell r="AL154"/>
          <cell r="AM154"/>
          <cell r="AN154"/>
          <cell r="AO154"/>
          <cell r="AP154"/>
          <cell r="AQ154"/>
          <cell r="AR154"/>
          <cell r="AS154"/>
          <cell r="AT154"/>
          <cell r="AU154"/>
          <cell r="AV154"/>
          <cell r="AW154"/>
          <cell r="AX154"/>
          <cell r="AY154"/>
          <cell r="AZ154"/>
          <cell r="BA154"/>
          <cell r="BB154"/>
          <cell r="BC154"/>
          <cell r="BD154"/>
          <cell r="BE154"/>
          <cell r="BF154"/>
          <cell r="BG154"/>
          <cell r="BH154"/>
          <cell r="BI154"/>
          <cell r="BJ154"/>
          <cell r="BK154"/>
          <cell r="BL154"/>
          <cell r="BM154"/>
          <cell r="BN154"/>
          <cell r="BO154"/>
          <cell r="BP154"/>
          <cell r="BQ154"/>
          <cell r="BR154"/>
          <cell r="BS154"/>
          <cell r="BT154"/>
          <cell r="BU154"/>
          <cell r="BV154"/>
          <cell r="BW154"/>
          <cell r="BX154"/>
          <cell r="BY154"/>
          <cell r="BZ154"/>
          <cell r="CA154"/>
          <cell r="CB154"/>
          <cell r="CC154"/>
          <cell r="CD154"/>
          <cell r="CE154"/>
          <cell r="CF154"/>
          <cell r="CG154"/>
          <cell r="CH154"/>
          <cell r="CI154"/>
          <cell r="CJ154"/>
          <cell r="CK154"/>
          <cell r="CL154"/>
          <cell r="CM154"/>
          <cell r="CN154"/>
          <cell r="CO154"/>
          <cell r="CP154"/>
          <cell r="CQ154"/>
          <cell r="CR154"/>
          <cell r="CS154"/>
          <cell r="CT154"/>
          <cell r="CU154"/>
          <cell r="CV154"/>
          <cell r="CW154"/>
          <cell r="CX154"/>
          <cell r="CY154"/>
          <cell r="CZ154"/>
          <cell r="DA154"/>
          <cell r="DB154"/>
          <cell r="DC154"/>
          <cell r="DD154"/>
          <cell r="DE154"/>
          <cell r="DF154"/>
          <cell r="DG154"/>
          <cell r="DH154"/>
          <cell r="DI154"/>
          <cell r="DJ154"/>
          <cell r="DK154"/>
          <cell r="DL154"/>
          <cell r="DM154"/>
          <cell r="DN154"/>
          <cell r="DO154"/>
          <cell r="DP154"/>
          <cell r="DQ154"/>
          <cell r="DR154"/>
          <cell r="DS154"/>
          <cell r="DT154"/>
          <cell r="DU154"/>
          <cell r="DV154"/>
          <cell r="DW154"/>
          <cell r="DX154"/>
          <cell r="ED154"/>
          <cell r="ES154" t="str">
            <v>785C-APX9414.00.CC.0 ENGINE OIL</v>
          </cell>
          <cell r="ET154" t="str">
            <v>785C-APX</v>
          </cell>
          <cell r="EV154" t="str">
            <v>9414.00.CC.0 ENGINE OIL</v>
          </cell>
          <cell r="EW154">
            <v>0</v>
          </cell>
          <cell r="EX154">
            <v>0</v>
          </cell>
        </row>
        <row r="155">
          <cell r="N155"/>
          <cell r="O155"/>
          <cell r="P155"/>
          <cell r="Q155"/>
          <cell r="R155"/>
          <cell r="S155"/>
          <cell r="T155"/>
          <cell r="U155"/>
          <cell r="V155"/>
          <cell r="W155"/>
          <cell r="X155"/>
          <cell r="Y155"/>
          <cell r="Z155"/>
          <cell r="AA155"/>
          <cell r="AB155"/>
          <cell r="AC155"/>
          <cell r="AD155"/>
          <cell r="AE155"/>
          <cell r="AF155"/>
          <cell r="AG155"/>
          <cell r="AH155"/>
          <cell r="AI155"/>
          <cell r="AJ155"/>
          <cell r="AK155"/>
          <cell r="AL155"/>
          <cell r="AM155"/>
          <cell r="AN155"/>
          <cell r="AO155"/>
          <cell r="AP155"/>
          <cell r="AQ155"/>
          <cell r="AR155"/>
          <cell r="AS155"/>
          <cell r="AT155"/>
          <cell r="AU155"/>
          <cell r="AV155"/>
          <cell r="AW155"/>
          <cell r="AX155"/>
          <cell r="AY155"/>
          <cell r="AZ155"/>
          <cell r="BA155"/>
          <cell r="BB155"/>
          <cell r="BC155"/>
          <cell r="BD155"/>
          <cell r="BE155"/>
          <cell r="BF155"/>
          <cell r="BG155"/>
          <cell r="BH155"/>
          <cell r="BI155"/>
          <cell r="BJ155"/>
          <cell r="BK155"/>
          <cell r="BL155"/>
          <cell r="BM155"/>
          <cell r="BN155"/>
          <cell r="BO155"/>
          <cell r="BP155"/>
          <cell r="BQ155"/>
          <cell r="BR155"/>
          <cell r="BS155"/>
          <cell r="BT155"/>
          <cell r="BU155"/>
          <cell r="BV155"/>
          <cell r="BW155"/>
          <cell r="BX155"/>
          <cell r="BY155"/>
          <cell r="BZ155"/>
          <cell r="CA155"/>
          <cell r="CB155"/>
          <cell r="CC155"/>
          <cell r="CD155"/>
          <cell r="CE155"/>
          <cell r="CF155"/>
          <cell r="CG155"/>
          <cell r="CH155"/>
          <cell r="CI155"/>
          <cell r="CJ155"/>
          <cell r="CK155"/>
          <cell r="CL155"/>
          <cell r="CM155"/>
          <cell r="CN155"/>
          <cell r="CO155"/>
          <cell r="CP155"/>
          <cell r="CQ155"/>
          <cell r="CR155"/>
          <cell r="CS155"/>
          <cell r="CT155"/>
          <cell r="CU155"/>
          <cell r="CV155"/>
          <cell r="CW155"/>
          <cell r="CX155"/>
          <cell r="CY155"/>
          <cell r="CZ155"/>
          <cell r="DA155"/>
          <cell r="DB155"/>
          <cell r="DC155"/>
          <cell r="DD155"/>
          <cell r="DE155"/>
          <cell r="DF155"/>
          <cell r="DG155"/>
          <cell r="DH155"/>
          <cell r="DI155"/>
          <cell r="DJ155"/>
          <cell r="DK155"/>
          <cell r="DL155"/>
          <cell r="DM155"/>
          <cell r="DN155"/>
          <cell r="DO155"/>
          <cell r="DP155"/>
          <cell r="DQ155"/>
          <cell r="DR155"/>
          <cell r="DS155"/>
          <cell r="DT155"/>
          <cell r="DU155"/>
          <cell r="DV155"/>
          <cell r="DW155"/>
          <cell r="DX155"/>
          <cell r="ED155"/>
          <cell r="ES155" t="str">
            <v>785C-APX9415.00.CC.0 TRANS OIL</v>
          </cell>
          <cell r="ET155" t="str">
            <v>785C-APX</v>
          </cell>
          <cell r="EV155" t="str">
            <v>9415.00.CC.0 TRANS OIL</v>
          </cell>
          <cell r="EW155">
            <v>0</v>
          </cell>
          <cell r="EX155">
            <v>0</v>
          </cell>
        </row>
        <row r="156">
          <cell r="N156"/>
          <cell r="O156"/>
          <cell r="P156"/>
          <cell r="Q156"/>
          <cell r="R156"/>
          <cell r="S156"/>
          <cell r="T156"/>
          <cell r="U156"/>
          <cell r="V156"/>
          <cell r="W156"/>
          <cell r="X156"/>
          <cell r="Y156"/>
          <cell r="Z156"/>
          <cell r="AA156"/>
          <cell r="AB156"/>
          <cell r="AC156"/>
          <cell r="AD156"/>
          <cell r="AE156"/>
          <cell r="AF156"/>
          <cell r="AG156"/>
          <cell r="AH156"/>
          <cell r="AI156"/>
          <cell r="AJ156"/>
          <cell r="AK156"/>
          <cell r="AL156"/>
          <cell r="AM156"/>
          <cell r="AN156"/>
          <cell r="AO156"/>
          <cell r="AP156"/>
          <cell r="AQ156"/>
          <cell r="AR156"/>
          <cell r="AS156"/>
          <cell r="AT156"/>
          <cell r="AU156"/>
          <cell r="AV156"/>
          <cell r="AW156"/>
          <cell r="AX156"/>
          <cell r="AY156"/>
          <cell r="AZ156"/>
          <cell r="BA156"/>
          <cell r="BB156"/>
          <cell r="BC156"/>
          <cell r="BD156"/>
          <cell r="BE156"/>
          <cell r="BF156"/>
          <cell r="BG156"/>
          <cell r="BH156"/>
          <cell r="BI156"/>
          <cell r="BJ156"/>
          <cell r="BK156"/>
          <cell r="BL156"/>
          <cell r="BM156"/>
          <cell r="BN156"/>
          <cell r="BO156"/>
          <cell r="BP156"/>
          <cell r="BQ156"/>
          <cell r="BR156"/>
          <cell r="BS156"/>
          <cell r="BT156"/>
          <cell r="BU156"/>
          <cell r="BV156"/>
          <cell r="BW156"/>
          <cell r="BX156"/>
          <cell r="BY156"/>
          <cell r="BZ156"/>
          <cell r="CA156"/>
          <cell r="CB156"/>
          <cell r="CC156"/>
          <cell r="CD156"/>
          <cell r="CE156"/>
          <cell r="CF156"/>
          <cell r="CG156"/>
          <cell r="CH156"/>
          <cell r="CI156"/>
          <cell r="CJ156"/>
          <cell r="CK156"/>
          <cell r="CL156"/>
          <cell r="CM156"/>
          <cell r="CN156"/>
          <cell r="CO156"/>
          <cell r="CP156"/>
          <cell r="CQ156"/>
          <cell r="CR156"/>
          <cell r="CS156"/>
          <cell r="CT156"/>
          <cell r="CU156"/>
          <cell r="CV156"/>
          <cell r="CW156"/>
          <cell r="CX156"/>
          <cell r="CY156"/>
          <cell r="CZ156"/>
          <cell r="DA156"/>
          <cell r="DB156"/>
          <cell r="DC156"/>
          <cell r="DD156"/>
          <cell r="DE156"/>
          <cell r="DF156"/>
          <cell r="DG156"/>
          <cell r="DH156"/>
          <cell r="DI156"/>
          <cell r="DJ156"/>
          <cell r="DK156"/>
          <cell r="DL156"/>
          <cell r="DM156"/>
          <cell r="DN156"/>
          <cell r="DO156"/>
          <cell r="DP156"/>
          <cell r="DQ156"/>
          <cell r="DR156"/>
          <cell r="DS156"/>
          <cell r="DT156"/>
          <cell r="DU156"/>
          <cell r="DV156"/>
          <cell r="DW156"/>
          <cell r="DX156"/>
          <cell r="ED156"/>
          <cell r="ES156" t="str">
            <v>785C-APX9416.00.CC.0 STEERING OIL</v>
          </cell>
          <cell r="ET156" t="str">
            <v>785C-APX</v>
          </cell>
          <cell r="EV156" t="str">
            <v>9416.00.CC.0 STEERING OIL</v>
          </cell>
          <cell r="EW156">
            <v>0</v>
          </cell>
          <cell r="EX156">
            <v>0</v>
          </cell>
        </row>
        <row r="157">
          <cell r="N157"/>
          <cell r="O157"/>
          <cell r="P157"/>
          <cell r="Q157"/>
          <cell r="R157"/>
          <cell r="S157"/>
          <cell r="T157"/>
          <cell r="U157"/>
          <cell r="V157"/>
          <cell r="W157"/>
          <cell r="X157"/>
          <cell r="Y157"/>
          <cell r="Z157"/>
          <cell r="AA157"/>
          <cell r="AB157"/>
          <cell r="AC157"/>
          <cell r="AD157"/>
          <cell r="AE157"/>
          <cell r="AF157"/>
          <cell r="AG157"/>
          <cell r="AH157"/>
          <cell r="AI157"/>
          <cell r="AJ157"/>
          <cell r="AK157"/>
          <cell r="AL157"/>
          <cell r="AM157"/>
          <cell r="AN157"/>
          <cell r="AO157"/>
          <cell r="AP157"/>
          <cell r="AQ157"/>
          <cell r="AR157"/>
          <cell r="AS157"/>
          <cell r="AT157"/>
          <cell r="AU157"/>
          <cell r="AV157"/>
          <cell r="AW157"/>
          <cell r="AX157"/>
          <cell r="AY157"/>
          <cell r="AZ157"/>
          <cell r="BA157"/>
          <cell r="BB157"/>
          <cell r="BC157"/>
          <cell r="BD157"/>
          <cell r="BE157"/>
          <cell r="BF157"/>
          <cell r="BG157"/>
          <cell r="BH157"/>
          <cell r="BI157"/>
          <cell r="BJ157"/>
          <cell r="BK157"/>
          <cell r="BL157"/>
          <cell r="BM157"/>
          <cell r="BN157"/>
          <cell r="BO157"/>
          <cell r="BP157"/>
          <cell r="BQ157"/>
          <cell r="BR157"/>
          <cell r="BS157"/>
          <cell r="BT157"/>
          <cell r="BU157"/>
          <cell r="BV157"/>
          <cell r="BW157"/>
          <cell r="BX157"/>
          <cell r="BY157"/>
          <cell r="BZ157"/>
          <cell r="CA157"/>
          <cell r="CB157"/>
          <cell r="CC157"/>
          <cell r="CD157"/>
          <cell r="CE157"/>
          <cell r="CF157"/>
          <cell r="CG157"/>
          <cell r="CH157"/>
          <cell r="CI157"/>
          <cell r="CJ157"/>
          <cell r="CK157"/>
          <cell r="CL157"/>
          <cell r="CM157"/>
          <cell r="CN157"/>
          <cell r="CO157"/>
          <cell r="CP157"/>
          <cell r="CQ157"/>
          <cell r="CR157"/>
          <cell r="CS157"/>
          <cell r="CT157"/>
          <cell r="CU157"/>
          <cell r="CV157"/>
          <cell r="CW157"/>
          <cell r="CX157"/>
          <cell r="CY157"/>
          <cell r="CZ157"/>
          <cell r="DA157"/>
          <cell r="DB157"/>
          <cell r="DC157"/>
          <cell r="DD157"/>
          <cell r="DE157"/>
          <cell r="DF157"/>
          <cell r="DG157"/>
          <cell r="DH157"/>
          <cell r="DI157"/>
          <cell r="DJ157"/>
          <cell r="DK157"/>
          <cell r="DL157"/>
          <cell r="DM157"/>
          <cell r="DN157"/>
          <cell r="DO157"/>
          <cell r="DP157"/>
          <cell r="DQ157"/>
          <cell r="DR157"/>
          <cell r="DS157"/>
          <cell r="DT157"/>
          <cell r="DU157"/>
          <cell r="DV157"/>
          <cell r="DW157"/>
          <cell r="DX157"/>
          <cell r="ED157"/>
          <cell r="ES157" t="str">
            <v>785C-APX9417.00.CC.0 DIFF, FINAL DRIVE OIL</v>
          </cell>
          <cell r="ET157" t="str">
            <v>785C-APX</v>
          </cell>
          <cell r="EV157" t="str">
            <v>9417.00.CC.0 DIFF, FINAL DRIVE OIL</v>
          </cell>
          <cell r="EW157">
            <v>0</v>
          </cell>
          <cell r="EX157">
            <v>0</v>
          </cell>
        </row>
        <row r="158">
          <cell r="N158"/>
          <cell r="O158"/>
          <cell r="P158"/>
          <cell r="Q158"/>
          <cell r="R158"/>
          <cell r="S158"/>
          <cell r="T158"/>
          <cell r="U158"/>
          <cell r="V158"/>
          <cell r="W158"/>
          <cell r="X158"/>
          <cell r="Y158"/>
          <cell r="Z158"/>
          <cell r="AA158"/>
          <cell r="AB158"/>
          <cell r="AC158"/>
          <cell r="AD158"/>
          <cell r="AE158"/>
          <cell r="AF158"/>
          <cell r="AG158"/>
          <cell r="AH158"/>
          <cell r="AI158"/>
          <cell r="AJ158"/>
          <cell r="AK158"/>
          <cell r="AL158"/>
          <cell r="AM158"/>
          <cell r="AN158"/>
          <cell r="AO158"/>
          <cell r="AP158"/>
          <cell r="AQ158"/>
          <cell r="AR158"/>
          <cell r="AS158"/>
          <cell r="AT158"/>
          <cell r="AU158"/>
          <cell r="AV158"/>
          <cell r="AW158"/>
          <cell r="AX158"/>
          <cell r="AY158"/>
          <cell r="AZ158"/>
          <cell r="BA158"/>
          <cell r="BB158"/>
          <cell r="BC158"/>
          <cell r="BD158"/>
          <cell r="BE158"/>
          <cell r="BF158"/>
          <cell r="BG158"/>
          <cell r="BH158"/>
          <cell r="BI158"/>
          <cell r="BJ158"/>
          <cell r="BK158"/>
          <cell r="BL158"/>
          <cell r="BM158"/>
          <cell r="BN158"/>
          <cell r="BO158"/>
          <cell r="BP158"/>
          <cell r="BQ158"/>
          <cell r="BR158"/>
          <cell r="BS158"/>
          <cell r="BT158"/>
          <cell r="BU158"/>
          <cell r="BV158"/>
          <cell r="BW158"/>
          <cell r="BX158"/>
          <cell r="BY158"/>
          <cell r="BZ158"/>
          <cell r="CA158"/>
          <cell r="CB158"/>
          <cell r="CC158"/>
          <cell r="CD158"/>
          <cell r="CE158"/>
          <cell r="CF158"/>
          <cell r="CG158"/>
          <cell r="CH158"/>
          <cell r="CI158"/>
          <cell r="CJ158"/>
          <cell r="CK158"/>
          <cell r="CL158"/>
          <cell r="CM158"/>
          <cell r="CN158"/>
          <cell r="CO158"/>
          <cell r="CP158"/>
          <cell r="CQ158"/>
          <cell r="CR158"/>
          <cell r="CS158"/>
          <cell r="CT158"/>
          <cell r="CU158"/>
          <cell r="CV158"/>
          <cell r="CW158"/>
          <cell r="CX158"/>
          <cell r="CY158"/>
          <cell r="CZ158"/>
          <cell r="DA158"/>
          <cell r="DB158"/>
          <cell r="DC158"/>
          <cell r="DD158"/>
          <cell r="DE158"/>
          <cell r="DF158"/>
          <cell r="DG158"/>
          <cell r="DH158"/>
          <cell r="DI158"/>
          <cell r="DJ158"/>
          <cell r="DK158"/>
          <cell r="DL158"/>
          <cell r="DM158"/>
          <cell r="DN158"/>
          <cell r="DO158"/>
          <cell r="DP158"/>
          <cell r="DQ158"/>
          <cell r="DR158"/>
          <cell r="DS158"/>
          <cell r="DT158"/>
          <cell r="DU158"/>
          <cell r="DV158"/>
          <cell r="DW158"/>
          <cell r="DX158"/>
          <cell r="ED158"/>
          <cell r="ES158" t="str">
            <v>785C-APX9421.00.CC.0 HYDRAULIC OIL</v>
          </cell>
          <cell r="ET158" t="str">
            <v>785C-APX</v>
          </cell>
          <cell r="EV158" t="str">
            <v>9421.00.CC.0 HYDRAULIC OIL</v>
          </cell>
          <cell r="EW158">
            <v>0</v>
          </cell>
          <cell r="EX158">
            <v>0</v>
          </cell>
        </row>
        <row r="159">
          <cell r="N159"/>
          <cell r="O159"/>
          <cell r="P159"/>
          <cell r="Q159"/>
          <cell r="R159"/>
          <cell r="S159"/>
          <cell r="T159"/>
          <cell r="U159"/>
          <cell r="V159"/>
          <cell r="W159"/>
          <cell r="X159"/>
          <cell r="Y159"/>
          <cell r="Z159"/>
          <cell r="AA159"/>
          <cell r="AB159"/>
          <cell r="AC159"/>
          <cell r="AD159"/>
          <cell r="AE159"/>
          <cell r="AF159"/>
          <cell r="AG159"/>
          <cell r="AH159"/>
          <cell r="AI159"/>
          <cell r="AJ159"/>
          <cell r="AK159"/>
          <cell r="AL159"/>
          <cell r="AM159"/>
          <cell r="AN159"/>
          <cell r="AO159"/>
          <cell r="AP159"/>
          <cell r="AQ159"/>
          <cell r="AR159"/>
          <cell r="AS159"/>
          <cell r="AT159"/>
          <cell r="AU159"/>
          <cell r="AV159"/>
          <cell r="AW159"/>
          <cell r="AX159"/>
          <cell r="AY159"/>
          <cell r="AZ159"/>
          <cell r="BA159"/>
          <cell r="BB159"/>
          <cell r="BC159"/>
          <cell r="BD159"/>
          <cell r="BE159"/>
          <cell r="BF159"/>
          <cell r="BG159"/>
          <cell r="BH159"/>
          <cell r="BI159"/>
          <cell r="BJ159"/>
          <cell r="BK159"/>
          <cell r="BL159"/>
          <cell r="BM159"/>
          <cell r="BN159"/>
          <cell r="BO159"/>
          <cell r="BP159"/>
          <cell r="BQ159"/>
          <cell r="BR159"/>
          <cell r="BS159"/>
          <cell r="BT159"/>
          <cell r="BU159"/>
          <cell r="BV159"/>
          <cell r="BW159"/>
          <cell r="BX159"/>
          <cell r="BY159"/>
          <cell r="BZ159"/>
          <cell r="CA159"/>
          <cell r="CB159"/>
          <cell r="CC159"/>
          <cell r="CD159"/>
          <cell r="CE159"/>
          <cell r="CF159"/>
          <cell r="CG159"/>
          <cell r="CH159"/>
          <cell r="CI159"/>
          <cell r="CJ159"/>
          <cell r="CK159"/>
          <cell r="CL159"/>
          <cell r="CM159"/>
          <cell r="CN159"/>
          <cell r="CO159"/>
          <cell r="CP159"/>
          <cell r="CQ159"/>
          <cell r="CR159"/>
          <cell r="CS159"/>
          <cell r="CT159"/>
          <cell r="CU159"/>
          <cell r="CV159"/>
          <cell r="CW159"/>
          <cell r="CX159"/>
          <cell r="CY159"/>
          <cell r="CZ159"/>
          <cell r="DA159"/>
          <cell r="DB159"/>
          <cell r="DC159"/>
          <cell r="DD159"/>
          <cell r="DE159"/>
          <cell r="DF159"/>
          <cell r="DG159"/>
          <cell r="DH159"/>
          <cell r="DI159"/>
          <cell r="DJ159"/>
          <cell r="DK159"/>
          <cell r="DL159"/>
          <cell r="DM159"/>
          <cell r="DN159"/>
          <cell r="DO159"/>
          <cell r="DP159"/>
          <cell r="DQ159"/>
          <cell r="DR159"/>
          <cell r="DS159"/>
          <cell r="DT159"/>
          <cell r="DU159"/>
          <cell r="DV159"/>
          <cell r="DW159"/>
          <cell r="DX159"/>
          <cell r="ED159"/>
          <cell r="ES159" t="str">
            <v>785C-APXZ001.00.UN.0 Engine - Unassigned</v>
          </cell>
          <cell r="ET159" t="str">
            <v>785C-APX</v>
          </cell>
          <cell r="EV159" t="str">
            <v>Z001.00.UN.0 Engine - Unassigned</v>
          </cell>
          <cell r="EW159">
            <v>113.870132493699</v>
          </cell>
          <cell r="EX159">
            <v>65</v>
          </cell>
        </row>
        <row r="160">
          <cell r="N160"/>
          <cell r="O160"/>
          <cell r="P160"/>
          <cell r="Q160"/>
          <cell r="R160"/>
          <cell r="S160"/>
          <cell r="T160"/>
          <cell r="U160"/>
          <cell r="V160"/>
          <cell r="W160"/>
          <cell r="X160"/>
          <cell r="Y160"/>
          <cell r="Z160"/>
          <cell r="AA160"/>
          <cell r="AB160"/>
          <cell r="AC160"/>
          <cell r="AD160"/>
          <cell r="AE160"/>
          <cell r="AF160"/>
          <cell r="AG160"/>
          <cell r="AH160"/>
          <cell r="AI160"/>
          <cell r="AJ160"/>
          <cell r="AK160"/>
          <cell r="AL160"/>
          <cell r="AM160"/>
          <cell r="AN160"/>
          <cell r="AO160"/>
          <cell r="AP160"/>
          <cell r="AQ160"/>
          <cell r="AR160"/>
          <cell r="AS160"/>
          <cell r="AT160"/>
          <cell r="AU160"/>
          <cell r="AV160"/>
          <cell r="AW160"/>
          <cell r="AX160"/>
          <cell r="AY160"/>
          <cell r="AZ160"/>
          <cell r="BA160"/>
          <cell r="BB160"/>
          <cell r="BC160"/>
          <cell r="BD160"/>
          <cell r="BE160"/>
          <cell r="BF160"/>
          <cell r="BG160"/>
          <cell r="BH160"/>
          <cell r="BI160"/>
          <cell r="BJ160"/>
          <cell r="BK160"/>
          <cell r="BL160"/>
          <cell r="BM160"/>
          <cell r="BN160"/>
          <cell r="BO160"/>
          <cell r="BP160"/>
          <cell r="BQ160"/>
          <cell r="BR160"/>
          <cell r="BS160"/>
          <cell r="BT160"/>
          <cell r="BU160"/>
          <cell r="BV160"/>
          <cell r="BW160"/>
          <cell r="BX160"/>
          <cell r="BY160"/>
          <cell r="BZ160"/>
          <cell r="CA160"/>
          <cell r="CB160"/>
          <cell r="CC160"/>
          <cell r="CD160"/>
          <cell r="CE160"/>
          <cell r="CF160"/>
          <cell r="CG160"/>
          <cell r="CH160"/>
          <cell r="CI160"/>
          <cell r="CJ160"/>
          <cell r="CK160"/>
          <cell r="CL160"/>
          <cell r="CM160"/>
          <cell r="CN160"/>
          <cell r="CO160"/>
          <cell r="CP160"/>
          <cell r="CQ160"/>
          <cell r="CR160"/>
          <cell r="CS160"/>
          <cell r="CT160"/>
          <cell r="CU160"/>
          <cell r="CV160"/>
          <cell r="CW160"/>
          <cell r="CX160"/>
          <cell r="CY160"/>
          <cell r="CZ160"/>
          <cell r="DA160"/>
          <cell r="DB160"/>
          <cell r="DC160"/>
          <cell r="DD160"/>
          <cell r="DE160"/>
          <cell r="DF160"/>
          <cell r="DG160"/>
          <cell r="DH160"/>
          <cell r="DI160"/>
          <cell r="DJ160"/>
          <cell r="DK160"/>
          <cell r="DL160"/>
          <cell r="DM160"/>
          <cell r="DN160"/>
          <cell r="DO160"/>
          <cell r="DP160"/>
          <cell r="DQ160"/>
          <cell r="DR160"/>
          <cell r="DS160"/>
          <cell r="DT160"/>
          <cell r="DU160"/>
          <cell r="DV160"/>
          <cell r="DW160"/>
          <cell r="DX160"/>
          <cell r="ED160"/>
          <cell r="ES160" t="str">
            <v>785C-APXZ002.00.UN.0 Fuel System - Unassigned</v>
          </cell>
          <cell r="ET160" t="str">
            <v>785C-APX</v>
          </cell>
          <cell r="EV160" t="str">
            <v>Z002.00.UN.0 Fuel System - Unassigned</v>
          </cell>
          <cell r="EW160">
            <v>320.25974763852901</v>
          </cell>
          <cell r="EX160">
            <v>65</v>
          </cell>
        </row>
        <row r="161">
          <cell r="N161"/>
          <cell r="O161"/>
          <cell r="P161"/>
          <cell r="Q161"/>
          <cell r="R161"/>
          <cell r="S161"/>
          <cell r="T161"/>
          <cell r="U161"/>
          <cell r="V161"/>
          <cell r="W161"/>
          <cell r="X161"/>
          <cell r="Y161"/>
          <cell r="Z161"/>
          <cell r="AA161"/>
          <cell r="AB161"/>
          <cell r="AC161"/>
          <cell r="AD161"/>
          <cell r="AE161"/>
          <cell r="AF161"/>
          <cell r="AG161"/>
          <cell r="AH161"/>
          <cell r="AI161"/>
          <cell r="AJ161"/>
          <cell r="AK161"/>
          <cell r="AL161"/>
          <cell r="AM161"/>
          <cell r="AN161"/>
          <cell r="AO161"/>
          <cell r="AP161"/>
          <cell r="AQ161"/>
          <cell r="AR161"/>
          <cell r="AS161"/>
          <cell r="AT161"/>
          <cell r="AU161"/>
          <cell r="AV161"/>
          <cell r="AW161"/>
          <cell r="AX161"/>
          <cell r="AY161"/>
          <cell r="AZ161"/>
          <cell r="BA161"/>
          <cell r="BB161"/>
          <cell r="BC161"/>
          <cell r="BD161"/>
          <cell r="BE161"/>
          <cell r="BF161"/>
          <cell r="BG161"/>
          <cell r="BH161"/>
          <cell r="BI161"/>
          <cell r="BJ161"/>
          <cell r="BK161"/>
          <cell r="BL161"/>
          <cell r="BM161"/>
          <cell r="BN161"/>
          <cell r="BO161"/>
          <cell r="BP161"/>
          <cell r="BQ161"/>
          <cell r="BR161"/>
          <cell r="BS161"/>
          <cell r="BT161"/>
          <cell r="BU161"/>
          <cell r="BV161"/>
          <cell r="BW161"/>
          <cell r="BX161"/>
          <cell r="BY161"/>
          <cell r="BZ161"/>
          <cell r="CA161"/>
          <cell r="CB161"/>
          <cell r="CC161"/>
          <cell r="CD161"/>
          <cell r="CE161"/>
          <cell r="CF161"/>
          <cell r="CG161"/>
          <cell r="CH161"/>
          <cell r="CI161"/>
          <cell r="CJ161"/>
          <cell r="CK161"/>
          <cell r="CL161"/>
          <cell r="CM161"/>
          <cell r="CN161"/>
          <cell r="CO161"/>
          <cell r="CP161"/>
          <cell r="CQ161"/>
          <cell r="CR161"/>
          <cell r="CS161"/>
          <cell r="CT161"/>
          <cell r="CU161"/>
          <cell r="CV161"/>
          <cell r="CW161"/>
          <cell r="CX161"/>
          <cell r="CY161"/>
          <cell r="CZ161"/>
          <cell r="DA161"/>
          <cell r="DB161"/>
          <cell r="DC161"/>
          <cell r="DD161"/>
          <cell r="DE161"/>
          <cell r="DF161"/>
          <cell r="DG161"/>
          <cell r="DH161"/>
          <cell r="DI161"/>
          <cell r="DJ161"/>
          <cell r="DK161"/>
          <cell r="DL161"/>
          <cell r="DM161"/>
          <cell r="DN161"/>
          <cell r="DO161"/>
          <cell r="DP161"/>
          <cell r="DQ161"/>
          <cell r="DR161"/>
          <cell r="DS161"/>
          <cell r="DT161"/>
          <cell r="DU161"/>
          <cell r="DV161"/>
          <cell r="DW161"/>
          <cell r="DX161"/>
          <cell r="ED161"/>
          <cell r="ES161" t="str">
            <v>785C-APXZ003.00.UN.0 Lubrication - Unassigned</v>
          </cell>
          <cell r="ET161" t="str">
            <v>785C-APX</v>
          </cell>
          <cell r="EV161" t="str">
            <v>Z003.00.UN.0 Lubrication - Unassigned</v>
          </cell>
          <cell r="EW161">
            <v>332.46011897713902</v>
          </cell>
          <cell r="EX161">
            <v>65</v>
          </cell>
        </row>
        <row r="162">
          <cell r="N162"/>
          <cell r="O162"/>
          <cell r="P162"/>
          <cell r="Q162"/>
          <cell r="R162"/>
          <cell r="S162"/>
          <cell r="T162"/>
          <cell r="U162"/>
          <cell r="V162"/>
          <cell r="W162"/>
          <cell r="X162"/>
          <cell r="Y162"/>
          <cell r="Z162"/>
          <cell r="AA162"/>
          <cell r="AB162"/>
          <cell r="AC162"/>
          <cell r="AD162"/>
          <cell r="AE162"/>
          <cell r="AF162"/>
          <cell r="AG162"/>
          <cell r="AH162"/>
          <cell r="AI162"/>
          <cell r="AJ162"/>
          <cell r="AK162"/>
          <cell r="AL162"/>
          <cell r="AM162"/>
          <cell r="AN162"/>
          <cell r="AO162"/>
          <cell r="AP162"/>
          <cell r="AQ162"/>
          <cell r="AR162"/>
          <cell r="AS162"/>
          <cell r="AT162"/>
          <cell r="AU162"/>
          <cell r="AV162"/>
          <cell r="AW162"/>
          <cell r="AX162"/>
          <cell r="AY162"/>
          <cell r="AZ162"/>
          <cell r="BA162"/>
          <cell r="BB162"/>
          <cell r="BC162"/>
          <cell r="BD162"/>
          <cell r="BE162"/>
          <cell r="BF162"/>
          <cell r="BG162"/>
          <cell r="BH162"/>
          <cell r="BI162"/>
          <cell r="BJ162"/>
          <cell r="BK162"/>
          <cell r="BL162"/>
          <cell r="BM162"/>
          <cell r="BN162"/>
          <cell r="BO162"/>
          <cell r="BP162"/>
          <cell r="BQ162"/>
          <cell r="BR162"/>
          <cell r="BS162"/>
          <cell r="BT162"/>
          <cell r="BU162"/>
          <cell r="BV162"/>
          <cell r="BW162"/>
          <cell r="BX162"/>
          <cell r="BY162"/>
          <cell r="BZ162"/>
          <cell r="CA162"/>
          <cell r="CB162"/>
          <cell r="CC162"/>
          <cell r="CD162"/>
          <cell r="CE162"/>
          <cell r="CF162"/>
          <cell r="CG162"/>
          <cell r="CH162"/>
          <cell r="CI162"/>
          <cell r="CJ162"/>
          <cell r="CK162"/>
          <cell r="CL162"/>
          <cell r="CM162"/>
          <cell r="CN162"/>
          <cell r="CO162"/>
          <cell r="CP162"/>
          <cell r="CQ162"/>
          <cell r="CR162"/>
          <cell r="CS162"/>
          <cell r="CT162"/>
          <cell r="CU162"/>
          <cell r="CV162"/>
          <cell r="CW162"/>
          <cell r="CX162"/>
          <cell r="CY162"/>
          <cell r="CZ162"/>
          <cell r="DA162"/>
          <cell r="DB162"/>
          <cell r="DC162"/>
          <cell r="DD162"/>
          <cell r="DE162"/>
          <cell r="DF162"/>
          <cell r="DG162"/>
          <cell r="DH162"/>
          <cell r="DI162"/>
          <cell r="DJ162"/>
          <cell r="DK162"/>
          <cell r="DL162"/>
          <cell r="DM162"/>
          <cell r="DN162"/>
          <cell r="DO162"/>
          <cell r="DP162"/>
          <cell r="DQ162"/>
          <cell r="DR162"/>
          <cell r="DS162"/>
          <cell r="DT162"/>
          <cell r="DU162"/>
          <cell r="DV162"/>
          <cell r="DW162"/>
          <cell r="DX162"/>
          <cell r="ED162"/>
          <cell r="ES162" t="str">
            <v>785C-APXZ004.00.UN.0 Starting System - Unassigned</v>
          </cell>
          <cell r="ET162" t="str">
            <v>785C-APX</v>
          </cell>
          <cell r="EV162" t="str">
            <v>Z004.00.UN.0 Starting System - Unassigned</v>
          </cell>
          <cell r="EW162">
            <v>555.11689590678304</v>
          </cell>
          <cell r="EX162">
            <v>65</v>
          </cell>
        </row>
        <row r="163">
          <cell r="N163"/>
          <cell r="O163"/>
          <cell r="P163"/>
          <cell r="Q163"/>
          <cell r="R163"/>
          <cell r="S163"/>
          <cell r="T163"/>
          <cell r="U163"/>
          <cell r="V163"/>
          <cell r="W163"/>
          <cell r="X163"/>
          <cell r="Y163"/>
          <cell r="Z163"/>
          <cell r="AA163"/>
          <cell r="AB163"/>
          <cell r="AC163"/>
          <cell r="AD163"/>
          <cell r="AE163"/>
          <cell r="AF163"/>
          <cell r="AG163"/>
          <cell r="AH163"/>
          <cell r="AI163"/>
          <cell r="AJ163"/>
          <cell r="AK163"/>
          <cell r="AL163"/>
          <cell r="AM163"/>
          <cell r="AN163"/>
          <cell r="AO163"/>
          <cell r="AP163"/>
          <cell r="AQ163"/>
          <cell r="AR163"/>
          <cell r="AS163"/>
          <cell r="AT163"/>
          <cell r="AU163"/>
          <cell r="AV163"/>
          <cell r="AW163"/>
          <cell r="AX163"/>
          <cell r="AY163"/>
          <cell r="AZ163"/>
          <cell r="BA163"/>
          <cell r="BB163"/>
          <cell r="BC163"/>
          <cell r="BD163"/>
          <cell r="BE163"/>
          <cell r="BF163"/>
          <cell r="BG163"/>
          <cell r="BH163"/>
          <cell r="BI163"/>
          <cell r="BJ163"/>
          <cell r="BK163"/>
          <cell r="BL163"/>
          <cell r="BM163"/>
          <cell r="BN163"/>
          <cell r="BO163"/>
          <cell r="BP163"/>
          <cell r="BQ163"/>
          <cell r="BR163"/>
          <cell r="BS163"/>
          <cell r="BT163"/>
          <cell r="BU163"/>
          <cell r="BV163"/>
          <cell r="BW163"/>
          <cell r="BX163"/>
          <cell r="BY163"/>
          <cell r="BZ163"/>
          <cell r="CA163"/>
          <cell r="CB163"/>
          <cell r="CC163"/>
          <cell r="CD163"/>
          <cell r="CE163"/>
          <cell r="CF163"/>
          <cell r="CG163"/>
          <cell r="CH163"/>
          <cell r="CI163"/>
          <cell r="CJ163"/>
          <cell r="CK163"/>
          <cell r="CL163"/>
          <cell r="CM163"/>
          <cell r="CN163"/>
          <cell r="CO163"/>
          <cell r="CP163"/>
          <cell r="CQ163"/>
          <cell r="CR163"/>
          <cell r="CS163"/>
          <cell r="CT163"/>
          <cell r="CU163"/>
          <cell r="CV163"/>
          <cell r="CW163"/>
          <cell r="CX163"/>
          <cell r="CY163"/>
          <cell r="CZ163"/>
          <cell r="DA163"/>
          <cell r="DB163"/>
          <cell r="DC163"/>
          <cell r="DD163"/>
          <cell r="DE163"/>
          <cell r="DF163"/>
          <cell r="DG163"/>
          <cell r="DH163"/>
          <cell r="DI163"/>
          <cell r="DJ163"/>
          <cell r="DK163"/>
          <cell r="DL163"/>
          <cell r="DM163"/>
          <cell r="DN163"/>
          <cell r="DO163"/>
          <cell r="DP163"/>
          <cell r="DQ163"/>
          <cell r="DR163"/>
          <cell r="DS163"/>
          <cell r="DT163"/>
          <cell r="DU163"/>
          <cell r="DV163"/>
          <cell r="DW163"/>
          <cell r="DX163"/>
          <cell r="ED163"/>
          <cell r="ES163" t="str">
            <v>785C-APXZ005.00.UN.0 Cooling System - Unassigned</v>
          </cell>
          <cell r="ET163" t="str">
            <v>785C-APX</v>
          </cell>
          <cell r="EV163" t="str">
            <v>Z005.00.UN.0 Cooling System - Unassigned</v>
          </cell>
          <cell r="EW163">
            <v>159.62152501348899</v>
          </cell>
          <cell r="EX163">
            <v>65</v>
          </cell>
        </row>
        <row r="164">
          <cell r="N164"/>
          <cell r="O164"/>
          <cell r="P164"/>
          <cell r="Q164"/>
          <cell r="R164"/>
          <cell r="S164"/>
          <cell r="T164"/>
          <cell r="U164"/>
          <cell r="V164"/>
          <cell r="W164"/>
          <cell r="X164"/>
          <cell r="Y164"/>
          <cell r="Z164"/>
          <cell r="AA164"/>
          <cell r="AB164"/>
          <cell r="AC164"/>
          <cell r="AD164"/>
          <cell r="AE164"/>
          <cell r="AF164"/>
          <cell r="AG164"/>
          <cell r="AH164"/>
          <cell r="AI164"/>
          <cell r="AJ164"/>
          <cell r="AK164"/>
          <cell r="AL164"/>
          <cell r="AM164"/>
          <cell r="AN164"/>
          <cell r="AO164"/>
          <cell r="AP164"/>
          <cell r="AQ164"/>
          <cell r="AR164"/>
          <cell r="AS164"/>
          <cell r="AT164"/>
          <cell r="AU164"/>
          <cell r="AV164"/>
          <cell r="AW164"/>
          <cell r="AX164"/>
          <cell r="AY164"/>
          <cell r="AZ164"/>
          <cell r="BA164"/>
          <cell r="BB164"/>
          <cell r="BC164"/>
          <cell r="BD164"/>
          <cell r="BE164"/>
          <cell r="BF164"/>
          <cell r="BG164"/>
          <cell r="BH164"/>
          <cell r="BI164"/>
          <cell r="BJ164"/>
          <cell r="BK164"/>
          <cell r="BL164"/>
          <cell r="BM164"/>
          <cell r="BN164"/>
          <cell r="BO164"/>
          <cell r="BP164"/>
          <cell r="BQ164"/>
          <cell r="BR164"/>
          <cell r="BS164"/>
          <cell r="BT164"/>
          <cell r="BU164"/>
          <cell r="BV164"/>
          <cell r="BW164"/>
          <cell r="BX164"/>
          <cell r="BY164"/>
          <cell r="BZ164"/>
          <cell r="CA164"/>
          <cell r="CB164"/>
          <cell r="CC164"/>
          <cell r="CD164"/>
          <cell r="CE164"/>
          <cell r="CF164"/>
          <cell r="CG164"/>
          <cell r="CH164"/>
          <cell r="CI164"/>
          <cell r="CJ164"/>
          <cell r="CK164"/>
          <cell r="CL164"/>
          <cell r="CM164"/>
          <cell r="CN164"/>
          <cell r="CO164"/>
          <cell r="CP164"/>
          <cell r="CQ164"/>
          <cell r="CR164"/>
          <cell r="CS164"/>
          <cell r="CT164"/>
          <cell r="CU164"/>
          <cell r="CV164"/>
          <cell r="CW164"/>
          <cell r="CX164"/>
          <cell r="CY164"/>
          <cell r="CZ164"/>
          <cell r="DA164"/>
          <cell r="DB164"/>
          <cell r="DC164"/>
          <cell r="DD164"/>
          <cell r="DE164"/>
          <cell r="DF164"/>
          <cell r="DG164"/>
          <cell r="DH164"/>
          <cell r="DI164"/>
          <cell r="DJ164"/>
          <cell r="DK164"/>
          <cell r="DL164"/>
          <cell r="DM164"/>
          <cell r="DN164"/>
          <cell r="DO164"/>
          <cell r="DP164"/>
          <cell r="DQ164"/>
          <cell r="DR164"/>
          <cell r="DS164"/>
          <cell r="DT164"/>
          <cell r="DU164"/>
          <cell r="DV164"/>
          <cell r="DW164"/>
          <cell r="DX164"/>
          <cell r="ED164"/>
          <cell r="ES164" t="str">
            <v>785C-APXZ006.00.UN.0 Air Induction AND Exhaust - Unassigned</v>
          </cell>
          <cell r="ET164" t="str">
            <v>785C-APX</v>
          </cell>
          <cell r="EV164" t="str">
            <v>Z006.00.UN.0 Air Induction AND Exhaust - Unassigned</v>
          </cell>
          <cell r="EW164">
            <v>281.62523839959499</v>
          </cell>
          <cell r="EX164">
            <v>65</v>
          </cell>
        </row>
        <row r="165">
          <cell r="N165"/>
          <cell r="O165"/>
          <cell r="P165"/>
          <cell r="Q165"/>
          <cell r="R165"/>
          <cell r="S165"/>
          <cell r="T165"/>
          <cell r="U165"/>
          <cell r="V165"/>
          <cell r="W165"/>
          <cell r="X165"/>
          <cell r="Y165"/>
          <cell r="Z165"/>
          <cell r="AA165"/>
          <cell r="AB165"/>
          <cell r="AC165"/>
          <cell r="AD165"/>
          <cell r="AE165"/>
          <cell r="AF165"/>
          <cell r="AG165"/>
          <cell r="AH165"/>
          <cell r="AI165"/>
          <cell r="AJ165"/>
          <cell r="AK165"/>
          <cell r="AL165"/>
          <cell r="AM165"/>
          <cell r="AN165"/>
          <cell r="AO165"/>
          <cell r="AP165"/>
          <cell r="AQ165"/>
          <cell r="AR165"/>
          <cell r="AS165"/>
          <cell r="AT165"/>
          <cell r="AU165"/>
          <cell r="AV165"/>
          <cell r="AW165"/>
          <cell r="AX165"/>
          <cell r="AY165"/>
          <cell r="AZ165"/>
          <cell r="BA165"/>
          <cell r="BB165"/>
          <cell r="BC165"/>
          <cell r="BD165"/>
          <cell r="BE165"/>
          <cell r="BF165"/>
          <cell r="BG165"/>
          <cell r="BH165"/>
          <cell r="BI165"/>
          <cell r="BJ165"/>
          <cell r="BK165"/>
          <cell r="BL165"/>
          <cell r="BM165"/>
          <cell r="BN165"/>
          <cell r="BO165"/>
          <cell r="BP165"/>
          <cell r="BQ165"/>
          <cell r="BR165"/>
          <cell r="BS165"/>
          <cell r="BT165"/>
          <cell r="BU165"/>
          <cell r="BV165"/>
          <cell r="BW165"/>
          <cell r="BX165"/>
          <cell r="BY165"/>
          <cell r="BZ165"/>
          <cell r="CA165"/>
          <cell r="CB165"/>
          <cell r="CC165"/>
          <cell r="CD165"/>
          <cell r="CE165"/>
          <cell r="CF165"/>
          <cell r="CG165"/>
          <cell r="CH165"/>
          <cell r="CI165"/>
          <cell r="CJ165"/>
          <cell r="CK165"/>
          <cell r="CL165"/>
          <cell r="CM165"/>
          <cell r="CN165"/>
          <cell r="CO165"/>
          <cell r="CP165"/>
          <cell r="CQ165"/>
          <cell r="CR165"/>
          <cell r="CS165"/>
          <cell r="CT165"/>
          <cell r="CU165"/>
          <cell r="CV165"/>
          <cell r="CW165"/>
          <cell r="CX165"/>
          <cell r="CY165"/>
          <cell r="CZ165"/>
          <cell r="DA165"/>
          <cell r="DB165"/>
          <cell r="DC165"/>
          <cell r="DD165"/>
          <cell r="DE165"/>
          <cell r="DF165"/>
          <cell r="DG165"/>
          <cell r="DH165"/>
          <cell r="DI165"/>
          <cell r="DJ165"/>
          <cell r="DK165"/>
          <cell r="DL165"/>
          <cell r="DM165"/>
          <cell r="DN165"/>
          <cell r="DO165"/>
          <cell r="DP165"/>
          <cell r="DQ165"/>
          <cell r="DR165"/>
          <cell r="DS165"/>
          <cell r="DT165"/>
          <cell r="DU165"/>
          <cell r="DV165"/>
          <cell r="DW165"/>
          <cell r="DX165"/>
          <cell r="ED165"/>
          <cell r="ES165" t="str">
            <v>785C-APXZ007.00.UN.0 Brake System - Unassigned</v>
          </cell>
          <cell r="ET165" t="str">
            <v>785C-APX</v>
          </cell>
          <cell r="EV165" t="str">
            <v>Z007.00.UN.0 Brake System - Unassigned</v>
          </cell>
          <cell r="EW165">
            <v>173.85529157520099</v>
          </cell>
          <cell r="EX165">
            <v>65</v>
          </cell>
        </row>
        <row r="166">
          <cell r="N166"/>
          <cell r="O166"/>
          <cell r="P166"/>
          <cell r="Q166"/>
          <cell r="R166"/>
          <cell r="S166"/>
          <cell r="T166"/>
          <cell r="U166"/>
          <cell r="V166"/>
          <cell r="W166"/>
          <cell r="X166"/>
          <cell r="Y166"/>
          <cell r="Z166"/>
          <cell r="AA166"/>
          <cell r="AB166"/>
          <cell r="AC166"/>
          <cell r="AD166"/>
          <cell r="AE166"/>
          <cell r="AF166"/>
          <cell r="AG166"/>
          <cell r="AH166"/>
          <cell r="AI166"/>
          <cell r="AJ166"/>
          <cell r="AK166"/>
          <cell r="AL166"/>
          <cell r="AM166"/>
          <cell r="AN166"/>
          <cell r="AO166"/>
          <cell r="AP166"/>
          <cell r="AQ166"/>
          <cell r="AR166"/>
          <cell r="AS166"/>
          <cell r="AT166"/>
          <cell r="AU166"/>
          <cell r="AV166"/>
          <cell r="AW166"/>
          <cell r="AX166"/>
          <cell r="AY166"/>
          <cell r="AZ166"/>
          <cell r="BA166"/>
          <cell r="BB166"/>
          <cell r="BC166"/>
          <cell r="BD166"/>
          <cell r="BE166"/>
          <cell r="BF166"/>
          <cell r="BG166"/>
          <cell r="BH166"/>
          <cell r="BI166"/>
          <cell r="BJ166"/>
          <cell r="BK166"/>
          <cell r="BL166"/>
          <cell r="BM166"/>
          <cell r="BN166"/>
          <cell r="BO166"/>
          <cell r="BP166"/>
          <cell r="BQ166"/>
          <cell r="BR166"/>
          <cell r="BS166"/>
          <cell r="BT166"/>
          <cell r="BU166"/>
          <cell r="BV166"/>
          <cell r="BW166"/>
          <cell r="BX166"/>
          <cell r="BY166"/>
          <cell r="BZ166"/>
          <cell r="CA166"/>
          <cell r="CB166"/>
          <cell r="CC166"/>
          <cell r="CD166"/>
          <cell r="CE166"/>
          <cell r="CF166"/>
          <cell r="CG166"/>
          <cell r="CH166"/>
          <cell r="CI166"/>
          <cell r="CJ166"/>
          <cell r="CK166"/>
          <cell r="CL166"/>
          <cell r="CM166"/>
          <cell r="CN166"/>
          <cell r="CO166"/>
          <cell r="CP166"/>
          <cell r="CQ166"/>
          <cell r="CR166"/>
          <cell r="CS166"/>
          <cell r="CT166"/>
          <cell r="CU166"/>
          <cell r="CV166"/>
          <cell r="CW166"/>
          <cell r="CX166"/>
          <cell r="CY166"/>
          <cell r="CZ166"/>
          <cell r="DA166"/>
          <cell r="DB166"/>
          <cell r="DC166"/>
          <cell r="DD166"/>
          <cell r="DE166"/>
          <cell r="DF166"/>
          <cell r="DG166"/>
          <cell r="DH166"/>
          <cell r="DI166"/>
          <cell r="DJ166"/>
          <cell r="DK166"/>
          <cell r="DL166"/>
          <cell r="DM166"/>
          <cell r="DN166"/>
          <cell r="DO166"/>
          <cell r="DP166"/>
          <cell r="DQ166"/>
          <cell r="DR166"/>
          <cell r="DS166"/>
          <cell r="DT166"/>
          <cell r="DU166"/>
          <cell r="DV166"/>
          <cell r="DW166"/>
          <cell r="DX166"/>
          <cell r="ED166"/>
          <cell r="ES166" t="str">
            <v>785C-APXZ008.00.UN.0 Steering System - Unassigned</v>
          </cell>
          <cell r="ET166" t="str">
            <v>785C-APX</v>
          </cell>
          <cell r="EV166" t="str">
            <v>Z008.00.UN.0 Steering System - Unassigned</v>
          </cell>
          <cell r="EW166">
            <v>684.23749257374595</v>
          </cell>
          <cell r="EX166">
            <v>65</v>
          </cell>
        </row>
        <row r="167">
          <cell r="N167"/>
          <cell r="O167"/>
          <cell r="P167"/>
          <cell r="Q167"/>
          <cell r="R167"/>
          <cell r="S167"/>
          <cell r="T167"/>
          <cell r="U167"/>
          <cell r="V167"/>
          <cell r="W167"/>
          <cell r="X167"/>
          <cell r="Y167"/>
          <cell r="Z167"/>
          <cell r="AA167"/>
          <cell r="AB167"/>
          <cell r="AC167"/>
          <cell r="AD167"/>
          <cell r="AE167"/>
          <cell r="AF167"/>
          <cell r="AG167"/>
          <cell r="AH167"/>
          <cell r="AI167"/>
          <cell r="AJ167"/>
          <cell r="AK167"/>
          <cell r="AL167"/>
          <cell r="AM167"/>
          <cell r="AN167"/>
          <cell r="AO167"/>
          <cell r="AP167"/>
          <cell r="AQ167"/>
          <cell r="AR167"/>
          <cell r="AS167"/>
          <cell r="AT167"/>
          <cell r="AU167"/>
          <cell r="AV167"/>
          <cell r="AW167"/>
          <cell r="AX167"/>
          <cell r="AY167"/>
          <cell r="AZ167"/>
          <cell r="BA167"/>
          <cell r="BB167"/>
          <cell r="BC167"/>
          <cell r="BD167"/>
          <cell r="BE167"/>
          <cell r="BF167"/>
          <cell r="BG167"/>
          <cell r="BH167"/>
          <cell r="BI167"/>
          <cell r="BJ167"/>
          <cell r="BK167"/>
          <cell r="BL167"/>
          <cell r="BM167"/>
          <cell r="BN167"/>
          <cell r="BO167"/>
          <cell r="BP167"/>
          <cell r="BQ167"/>
          <cell r="BR167"/>
          <cell r="BS167"/>
          <cell r="BT167"/>
          <cell r="BU167"/>
          <cell r="BV167"/>
          <cell r="BW167"/>
          <cell r="BX167"/>
          <cell r="BY167"/>
          <cell r="BZ167"/>
          <cell r="CA167"/>
          <cell r="CB167"/>
          <cell r="CC167"/>
          <cell r="CD167"/>
          <cell r="CE167"/>
          <cell r="CF167"/>
          <cell r="CG167"/>
          <cell r="CH167"/>
          <cell r="CI167"/>
          <cell r="CJ167"/>
          <cell r="CK167"/>
          <cell r="CL167"/>
          <cell r="CM167"/>
          <cell r="CN167"/>
          <cell r="CO167"/>
          <cell r="CP167"/>
          <cell r="CQ167"/>
          <cell r="CR167"/>
          <cell r="CS167"/>
          <cell r="CT167"/>
          <cell r="CU167"/>
          <cell r="CV167"/>
          <cell r="CW167"/>
          <cell r="CX167"/>
          <cell r="CY167"/>
          <cell r="CZ167"/>
          <cell r="DA167"/>
          <cell r="DB167"/>
          <cell r="DC167"/>
          <cell r="DD167"/>
          <cell r="DE167"/>
          <cell r="DF167"/>
          <cell r="DG167"/>
          <cell r="DH167"/>
          <cell r="DI167"/>
          <cell r="DJ167"/>
          <cell r="DK167"/>
          <cell r="DL167"/>
          <cell r="DM167"/>
          <cell r="DN167"/>
          <cell r="DO167"/>
          <cell r="DP167"/>
          <cell r="DQ167"/>
          <cell r="DR167"/>
          <cell r="DS167"/>
          <cell r="DT167"/>
          <cell r="DU167"/>
          <cell r="DV167"/>
          <cell r="DW167"/>
          <cell r="DX167"/>
          <cell r="ED167"/>
          <cell r="ES167" t="str">
            <v>785C-APXZ009.00.UN.0 Power Train - Unassigned</v>
          </cell>
          <cell r="ET167" t="str">
            <v>785C-APX</v>
          </cell>
          <cell r="EV167" t="str">
            <v>Z009.00.UN.0 Power Train - Unassigned</v>
          </cell>
          <cell r="EW167">
            <v>372.111325827624</v>
          </cell>
          <cell r="EX167">
            <v>65</v>
          </cell>
        </row>
        <row r="168">
          <cell r="N168"/>
          <cell r="O168"/>
          <cell r="P168"/>
          <cell r="Q168"/>
          <cell r="R168"/>
          <cell r="S168"/>
          <cell r="T168"/>
          <cell r="U168"/>
          <cell r="V168"/>
          <cell r="W168"/>
          <cell r="X168"/>
          <cell r="Y168"/>
          <cell r="Z168"/>
          <cell r="AA168"/>
          <cell r="AB168"/>
          <cell r="AC168"/>
          <cell r="AD168"/>
          <cell r="AE168"/>
          <cell r="AF168"/>
          <cell r="AG168"/>
          <cell r="AH168"/>
          <cell r="AI168"/>
          <cell r="AJ168"/>
          <cell r="AK168"/>
          <cell r="AL168"/>
          <cell r="AM168"/>
          <cell r="AN168"/>
          <cell r="AO168"/>
          <cell r="AP168"/>
          <cell r="AQ168"/>
          <cell r="AR168"/>
          <cell r="AS168"/>
          <cell r="AT168"/>
          <cell r="AU168"/>
          <cell r="AV168"/>
          <cell r="AW168"/>
          <cell r="AX168"/>
          <cell r="AY168"/>
          <cell r="AZ168"/>
          <cell r="BA168"/>
          <cell r="BB168"/>
          <cell r="BC168"/>
          <cell r="BD168"/>
          <cell r="BE168"/>
          <cell r="BF168"/>
          <cell r="BG168"/>
          <cell r="BH168"/>
          <cell r="BI168"/>
          <cell r="BJ168"/>
          <cell r="BK168"/>
          <cell r="BL168"/>
          <cell r="BM168"/>
          <cell r="BN168"/>
          <cell r="BO168"/>
          <cell r="BP168"/>
          <cell r="BQ168"/>
          <cell r="BR168"/>
          <cell r="BS168"/>
          <cell r="BT168"/>
          <cell r="BU168"/>
          <cell r="BV168"/>
          <cell r="BW168"/>
          <cell r="BX168"/>
          <cell r="BY168"/>
          <cell r="BZ168"/>
          <cell r="CA168"/>
          <cell r="CB168"/>
          <cell r="CC168"/>
          <cell r="CD168"/>
          <cell r="CE168"/>
          <cell r="CF168"/>
          <cell r="CG168"/>
          <cell r="CH168"/>
          <cell r="CI168"/>
          <cell r="CJ168"/>
          <cell r="CK168"/>
          <cell r="CL168"/>
          <cell r="CM168"/>
          <cell r="CN168"/>
          <cell r="CO168"/>
          <cell r="CP168"/>
          <cell r="CQ168"/>
          <cell r="CR168"/>
          <cell r="CS168"/>
          <cell r="CT168"/>
          <cell r="CU168"/>
          <cell r="CV168"/>
          <cell r="CW168"/>
          <cell r="CX168"/>
          <cell r="CY168"/>
          <cell r="CZ168"/>
          <cell r="DA168"/>
          <cell r="DB168"/>
          <cell r="DC168"/>
          <cell r="DD168"/>
          <cell r="DE168"/>
          <cell r="DF168"/>
          <cell r="DG168"/>
          <cell r="DH168"/>
          <cell r="DI168"/>
          <cell r="DJ168"/>
          <cell r="DK168"/>
          <cell r="DL168"/>
          <cell r="DM168"/>
          <cell r="DN168"/>
          <cell r="DO168"/>
          <cell r="DP168"/>
          <cell r="DQ168"/>
          <cell r="DR168"/>
          <cell r="DS168"/>
          <cell r="DT168"/>
          <cell r="DU168"/>
          <cell r="DV168"/>
          <cell r="DW168"/>
          <cell r="DX168"/>
          <cell r="ED168"/>
          <cell r="ES168" t="str">
            <v>785C-APXZ010.00.UN.0 Drive Train - Unassigned</v>
          </cell>
          <cell r="ET168" t="str">
            <v>785C-APX</v>
          </cell>
          <cell r="EV168" t="str">
            <v>Z010.00.UN.0 Drive Train - Unassigned</v>
          </cell>
          <cell r="EW168">
            <v>85.402599370274302</v>
          </cell>
          <cell r="EX168">
            <v>65</v>
          </cell>
        </row>
        <row r="169">
          <cell r="N169"/>
          <cell r="O169"/>
          <cell r="P169"/>
          <cell r="Q169"/>
          <cell r="R169"/>
          <cell r="S169"/>
          <cell r="T169"/>
          <cell r="U169"/>
          <cell r="V169"/>
          <cell r="W169"/>
          <cell r="X169"/>
          <cell r="Y169"/>
          <cell r="Z169"/>
          <cell r="AA169"/>
          <cell r="AB169"/>
          <cell r="AC169"/>
          <cell r="AD169"/>
          <cell r="AE169"/>
          <cell r="AF169"/>
          <cell r="AG169"/>
          <cell r="AH169"/>
          <cell r="AI169"/>
          <cell r="AJ169"/>
          <cell r="AK169"/>
          <cell r="AL169"/>
          <cell r="AM169"/>
          <cell r="AN169"/>
          <cell r="AO169"/>
          <cell r="AP169"/>
          <cell r="AQ169"/>
          <cell r="AR169"/>
          <cell r="AS169"/>
          <cell r="AT169"/>
          <cell r="AU169"/>
          <cell r="AV169"/>
          <cell r="AW169"/>
          <cell r="AX169"/>
          <cell r="AY169"/>
          <cell r="AZ169"/>
          <cell r="BA169"/>
          <cell r="BB169"/>
          <cell r="BC169"/>
          <cell r="BD169"/>
          <cell r="BE169"/>
          <cell r="BF169"/>
          <cell r="BG169"/>
          <cell r="BH169"/>
          <cell r="BI169"/>
          <cell r="BJ169"/>
          <cell r="BK169"/>
          <cell r="BL169"/>
          <cell r="BM169"/>
          <cell r="BN169"/>
          <cell r="BO169"/>
          <cell r="BP169"/>
          <cell r="BQ169"/>
          <cell r="BR169"/>
          <cell r="BS169"/>
          <cell r="BT169"/>
          <cell r="BU169"/>
          <cell r="BV169"/>
          <cell r="BW169"/>
          <cell r="BX169"/>
          <cell r="BY169"/>
          <cell r="BZ169"/>
          <cell r="CA169"/>
          <cell r="CB169"/>
          <cell r="CC169"/>
          <cell r="CD169"/>
          <cell r="CE169"/>
          <cell r="CF169"/>
          <cell r="CG169"/>
          <cell r="CH169"/>
          <cell r="CI169"/>
          <cell r="CJ169"/>
          <cell r="CK169"/>
          <cell r="CL169"/>
          <cell r="CM169"/>
          <cell r="CN169"/>
          <cell r="CO169"/>
          <cell r="CP169"/>
          <cell r="CQ169"/>
          <cell r="CR169"/>
          <cell r="CS169"/>
          <cell r="CT169"/>
          <cell r="CU169"/>
          <cell r="CV169"/>
          <cell r="CW169"/>
          <cell r="CX169"/>
          <cell r="CY169"/>
          <cell r="CZ169"/>
          <cell r="DA169"/>
          <cell r="DB169"/>
          <cell r="DC169"/>
          <cell r="DD169"/>
          <cell r="DE169"/>
          <cell r="DF169"/>
          <cell r="DG169"/>
          <cell r="DH169"/>
          <cell r="DI169"/>
          <cell r="DJ169"/>
          <cell r="DK169"/>
          <cell r="DL169"/>
          <cell r="DM169"/>
          <cell r="DN169"/>
          <cell r="DO169"/>
          <cell r="DP169"/>
          <cell r="DQ169"/>
          <cell r="DR169"/>
          <cell r="DS169"/>
          <cell r="DT169"/>
          <cell r="DU169"/>
          <cell r="DV169"/>
          <cell r="DW169"/>
          <cell r="DX169"/>
          <cell r="ED169"/>
          <cell r="ES169" t="str">
            <v>785C-APXZ012.00.UN.0 Wheels AND Tyres - Unassigned</v>
          </cell>
          <cell r="ET169" t="str">
            <v>785C-APX</v>
          </cell>
          <cell r="EV169" t="str">
            <v>Z012.00.UN.0 Wheels AND Tyres - Unassigned</v>
          </cell>
          <cell r="EW169">
            <v>0</v>
          </cell>
          <cell r="EX169">
            <v>0</v>
          </cell>
        </row>
        <row r="170">
          <cell r="N170"/>
          <cell r="O170"/>
          <cell r="P170"/>
          <cell r="Q170"/>
          <cell r="R170"/>
          <cell r="S170"/>
          <cell r="T170"/>
          <cell r="U170"/>
          <cell r="V170"/>
          <cell r="W170"/>
          <cell r="X170"/>
          <cell r="Y170"/>
          <cell r="Z170"/>
          <cell r="AA170"/>
          <cell r="AB170"/>
          <cell r="AC170"/>
          <cell r="AD170"/>
          <cell r="AE170"/>
          <cell r="AF170"/>
          <cell r="AG170"/>
          <cell r="AH170"/>
          <cell r="AI170"/>
          <cell r="AJ170"/>
          <cell r="AK170"/>
          <cell r="AL170"/>
          <cell r="AM170"/>
          <cell r="AN170"/>
          <cell r="AO170"/>
          <cell r="AP170"/>
          <cell r="AQ170"/>
          <cell r="AR170"/>
          <cell r="AS170"/>
          <cell r="AT170"/>
          <cell r="AU170"/>
          <cell r="AV170"/>
          <cell r="AW170"/>
          <cell r="AX170"/>
          <cell r="AY170"/>
          <cell r="AZ170"/>
          <cell r="BA170"/>
          <cell r="BB170"/>
          <cell r="BC170"/>
          <cell r="BD170"/>
          <cell r="BE170"/>
          <cell r="BF170"/>
          <cell r="BG170"/>
          <cell r="BH170"/>
          <cell r="BI170"/>
          <cell r="BJ170"/>
          <cell r="BK170"/>
          <cell r="BL170"/>
          <cell r="BM170"/>
          <cell r="BN170"/>
          <cell r="BO170"/>
          <cell r="BP170"/>
          <cell r="BQ170"/>
          <cell r="BR170"/>
          <cell r="BS170"/>
          <cell r="BT170"/>
          <cell r="BU170"/>
          <cell r="BV170"/>
          <cell r="BW170"/>
          <cell r="BX170"/>
          <cell r="BY170"/>
          <cell r="BZ170"/>
          <cell r="CA170"/>
          <cell r="CB170"/>
          <cell r="CC170"/>
          <cell r="CD170"/>
          <cell r="CE170"/>
          <cell r="CF170"/>
          <cell r="CG170"/>
          <cell r="CH170"/>
          <cell r="CI170"/>
          <cell r="CJ170"/>
          <cell r="CK170"/>
          <cell r="CL170"/>
          <cell r="CM170"/>
          <cell r="CN170"/>
          <cell r="CO170"/>
          <cell r="CP170"/>
          <cell r="CQ170"/>
          <cell r="CR170"/>
          <cell r="CS170"/>
          <cell r="CT170"/>
          <cell r="CU170"/>
          <cell r="CV170"/>
          <cell r="CW170"/>
          <cell r="CX170"/>
          <cell r="CY170"/>
          <cell r="CZ170"/>
          <cell r="DA170"/>
          <cell r="DB170"/>
          <cell r="DC170"/>
          <cell r="DD170"/>
          <cell r="DE170"/>
          <cell r="DF170"/>
          <cell r="DG170"/>
          <cell r="DH170"/>
          <cell r="DI170"/>
          <cell r="DJ170"/>
          <cell r="DK170"/>
          <cell r="DL170"/>
          <cell r="DM170"/>
          <cell r="DN170"/>
          <cell r="DO170"/>
          <cell r="DP170"/>
          <cell r="DQ170"/>
          <cell r="DR170"/>
          <cell r="DS170"/>
          <cell r="DT170"/>
          <cell r="DU170"/>
          <cell r="DV170"/>
          <cell r="DW170"/>
          <cell r="DX170"/>
          <cell r="ED170"/>
          <cell r="ES170" t="str">
            <v>785C-APXZ013.00.UN.0 Electrical System - Unassigned</v>
          </cell>
          <cell r="ET170" t="str">
            <v>785C-APX</v>
          </cell>
          <cell r="EV170" t="str">
            <v>Z013.00.UN.0 Electrical System - Unassigned</v>
          </cell>
          <cell r="EW170">
            <v>423.96290401671899</v>
          </cell>
          <cell r="EX170">
            <v>65</v>
          </cell>
        </row>
        <row r="171">
          <cell r="N171"/>
          <cell r="O171"/>
          <cell r="P171"/>
          <cell r="Q171"/>
          <cell r="R171"/>
          <cell r="S171"/>
          <cell r="T171"/>
          <cell r="U171"/>
          <cell r="V171"/>
          <cell r="W171"/>
          <cell r="X171"/>
          <cell r="Y171"/>
          <cell r="Z171"/>
          <cell r="AA171"/>
          <cell r="AB171"/>
          <cell r="AC171"/>
          <cell r="AD171"/>
          <cell r="AE171"/>
          <cell r="AF171"/>
          <cell r="AG171"/>
          <cell r="AH171"/>
          <cell r="AI171"/>
          <cell r="AJ171"/>
          <cell r="AK171"/>
          <cell r="AL171"/>
          <cell r="AM171"/>
          <cell r="AN171"/>
          <cell r="AO171"/>
          <cell r="AP171"/>
          <cell r="AQ171"/>
          <cell r="AR171"/>
          <cell r="AS171"/>
          <cell r="AT171"/>
          <cell r="AU171"/>
          <cell r="AV171"/>
          <cell r="AW171"/>
          <cell r="AX171"/>
          <cell r="AY171"/>
          <cell r="AZ171"/>
          <cell r="BA171"/>
          <cell r="BB171"/>
          <cell r="BC171"/>
          <cell r="BD171"/>
          <cell r="BE171"/>
          <cell r="BF171"/>
          <cell r="BG171"/>
          <cell r="BH171"/>
          <cell r="BI171"/>
          <cell r="BJ171"/>
          <cell r="BK171"/>
          <cell r="BL171"/>
          <cell r="BM171"/>
          <cell r="BN171"/>
          <cell r="BO171"/>
          <cell r="BP171"/>
          <cell r="BQ171"/>
          <cell r="BR171"/>
          <cell r="BS171"/>
          <cell r="BT171"/>
          <cell r="BU171"/>
          <cell r="BV171"/>
          <cell r="BW171"/>
          <cell r="BX171"/>
          <cell r="BY171"/>
          <cell r="BZ171"/>
          <cell r="CA171"/>
          <cell r="CB171"/>
          <cell r="CC171"/>
          <cell r="CD171"/>
          <cell r="CE171"/>
          <cell r="CF171"/>
          <cell r="CG171"/>
          <cell r="CH171"/>
          <cell r="CI171"/>
          <cell r="CJ171"/>
          <cell r="CK171"/>
          <cell r="CL171"/>
          <cell r="CM171"/>
          <cell r="CN171"/>
          <cell r="CO171"/>
          <cell r="CP171"/>
          <cell r="CQ171"/>
          <cell r="CR171"/>
          <cell r="CS171"/>
          <cell r="CT171"/>
          <cell r="CU171"/>
          <cell r="CV171"/>
          <cell r="CW171"/>
          <cell r="CX171"/>
          <cell r="CY171"/>
          <cell r="CZ171"/>
          <cell r="DA171"/>
          <cell r="DB171"/>
          <cell r="DC171"/>
          <cell r="DD171"/>
          <cell r="DE171"/>
          <cell r="DF171"/>
          <cell r="DG171"/>
          <cell r="DH171"/>
          <cell r="DI171"/>
          <cell r="DJ171"/>
          <cell r="DK171"/>
          <cell r="DL171"/>
          <cell r="DM171"/>
          <cell r="DN171"/>
          <cell r="DO171"/>
          <cell r="DP171"/>
          <cell r="DQ171"/>
          <cell r="DR171"/>
          <cell r="DS171"/>
          <cell r="DT171"/>
          <cell r="DU171"/>
          <cell r="DV171"/>
          <cell r="DW171"/>
          <cell r="DX171"/>
          <cell r="ED171"/>
          <cell r="ES171" t="str">
            <v>785C-APXZ014.00.UN.0 Hydraulic Pumps and Motors - Unassigned</v>
          </cell>
          <cell r="ET171" t="str">
            <v>785C-APX</v>
          </cell>
          <cell r="EV171" t="str">
            <v>Z014.00.UN.0 Hydraulic Pumps and Motors - Unassigned</v>
          </cell>
          <cell r="EW171">
            <v>0</v>
          </cell>
          <cell r="EX171">
            <v>0</v>
          </cell>
        </row>
        <row r="172">
          <cell r="N172"/>
          <cell r="O172"/>
          <cell r="P172"/>
          <cell r="Q172"/>
          <cell r="R172"/>
          <cell r="S172"/>
          <cell r="T172"/>
          <cell r="U172"/>
          <cell r="V172"/>
          <cell r="W172"/>
          <cell r="X172"/>
          <cell r="Y172"/>
          <cell r="Z172"/>
          <cell r="AA172"/>
          <cell r="AB172"/>
          <cell r="AC172"/>
          <cell r="AD172"/>
          <cell r="AE172"/>
          <cell r="AF172"/>
          <cell r="AG172"/>
          <cell r="AH172"/>
          <cell r="AI172"/>
          <cell r="AJ172"/>
          <cell r="AK172"/>
          <cell r="AL172"/>
          <cell r="AM172"/>
          <cell r="AN172"/>
          <cell r="AO172"/>
          <cell r="AP172"/>
          <cell r="AQ172"/>
          <cell r="AR172"/>
          <cell r="AS172"/>
          <cell r="AT172"/>
          <cell r="AU172"/>
          <cell r="AV172"/>
          <cell r="AW172"/>
          <cell r="AX172"/>
          <cell r="AY172"/>
          <cell r="AZ172"/>
          <cell r="BA172"/>
          <cell r="BB172"/>
          <cell r="BC172"/>
          <cell r="BD172"/>
          <cell r="BE172"/>
          <cell r="BF172"/>
          <cell r="BG172"/>
          <cell r="BH172"/>
          <cell r="BI172"/>
          <cell r="BJ172"/>
          <cell r="BK172"/>
          <cell r="BL172"/>
          <cell r="BM172"/>
          <cell r="BN172"/>
          <cell r="BO172"/>
          <cell r="BP172"/>
          <cell r="BQ172"/>
          <cell r="BR172"/>
          <cell r="BS172"/>
          <cell r="BT172"/>
          <cell r="BU172"/>
          <cell r="BV172"/>
          <cell r="BW172"/>
          <cell r="BX172"/>
          <cell r="BY172"/>
          <cell r="BZ172"/>
          <cell r="CA172"/>
          <cell r="CB172"/>
          <cell r="CC172"/>
          <cell r="CD172"/>
          <cell r="CE172"/>
          <cell r="CF172"/>
          <cell r="CG172"/>
          <cell r="CH172"/>
          <cell r="CI172"/>
          <cell r="CJ172"/>
          <cell r="CK172"/>
          <cell r="CL172"/>
          <cell r="CM172"/>
          <cell r="CN172"/>
          <cell r="CO172"/>
          <cell r="CP172"/>
          <cell r="CQ172"/>
          <cell r="CR172"/>
          <cell r="CS172"/>
          <cell r="CT172"/>
          <cell r="CU172"/>
          <cell r="CV172"/>
          <cell r="CW172"/>
          <cell r="CX172"/>
          <cell r="CY172"/>
          <cell r="CZ172"/>
          <cell r="DA172"/>
          <cell r="DB172"/>
          <cell r="DC172"/>
          <cell r="DD172"/>
          <cell r="DE172"/>
          <cell r="DF172"/>
          <cell r="DG172"/>
          <cell r="DH172"/>
          <cell r="DI172"/>
          <cell r="DJ172"/>
          <cell r="DK172"/>
          <cell r="DL172"/>
          <cell r="DM172"/>
          <cell r="DN172"/>
          <cell r="DO172"/>
          <cell r="DP172"/>
          <cell r="DQ172"/>
          <cell r="DR172"/>
          <cell r="DS172"/>
          <cell r="DT172"/>
          <cell r="DU172"/>
          <cell r="DV172"/>
          <cell r="DW172"/>
          <cell r="DX172"/>
          <cell r="ED172"/>
          <cell r="ES172" t="str">
            <v>785C-APXZ015.00.UN.0 Hydraulic System - Unassigned</v>
          </cell>
          <cell r="ET172" t="str">
            <v>785C-APX</v>
          </cell>
          <cell r="EV172" t="str">
            <v>Z015.00.UN.0 Hydraulic System - Unassigned</v>
          </cell>
          <cell r="EW172">
            <v>193.172546194668</v>
          </cell>
          <cell r="EX172">
            <v>65</v>
          </cell>
        </row>
        <row r="173">
          <cell r="N173"/>
          <cell r="O173"/>
          <cell r="P173"/>
          <cell r="Q173"/>
          <cell r="R173"/>
          <cell r="S173"/>
          <cell r="T173"/>
          <cell r="U173"/>
          <cell r="V173"/>
          <cell r="W173"/>
          <cell r="X173"/>
          <cell r="Y173"/>
          <cell r="Z173"/>
          <cell r="AA173"/>
          <cell r="AB173"/>
          <cell r="AC173"/>
          <cell r="AD173"/>
          <cell r="AE173"/>
          <cell r="AF173"/>
          <cell r="AG173"/>
          <cell r="AH173"/>
          <cell r="AI173"/>
          <cell r="AJ173"/>
          <cell r="AK173"/>
          <cell r="AL173"/>
          <cell r="AM173"/>
          <cell r="AN173"/>
          <cell r="AO173"/>
          <cell r="AP173"/>
          <cell r="AQ173"/>
          <cell r="AR173"/>
          <cell r="AS173"/>
          <cell r="AT173"/>
          <cell r="AU173"/>
          <cell r="AV173"/>
          <cell r="AW173"/>
          <cell r="AX173"/>
          <cell r="AY173"/>
          <cell r="AZ173"/>
          <cell r="BA173"/>
          <cell r="BB173"/>
          <cell r="BC173"/>
          <cell r="BD173"/>
          <cell r="BE173"/>
          <cell r="BF173"/>
          <cell r="BG173"/>
          <cell r="BH173"/>
          <cell r="BI173"/>
          <cell r="BJ173"/>
          <cell r="BK173"/>
          <cell r="BL173"/>
          <cell r="BM173"/>
          <cell r="BN173"/>
          <cell r="BO173"/>
          <cell r="BP173"/>
          <cell r="BQ173"/>
          <cell r="BR173"/>
          <cell r="BS173"/>
          <cell r="BT173"/>
          <cell r="BU173"/>
          <cell r="BV173"/>
          <cell r="BW173"/>
          <cell r="BX173"/>
          <cell r="BY173"/>
          <cell r="BZ173"/>
          <cell r="CA173"/>
          <cell r="CB173"/>
          <cell r="CC173"/>
          <cell r="CD173"/>
          <cell r="CE173"/>
          <cell r="CF173"/>
          <cell r="CG173"/>
          <cell r="CH173"/>
          <cell r="CI173"/>
          <cell r="CJ173"/>
          <cell r="CK173"/>
          <cell r="CL173"/>
          <cell r="CM173"/>
          <cell r="CN173"/>
          <cell r="CO173"/>
          <cell r="CP173"/>
          <cell r="CQ173"/>
          <cell r="CR173"/>
          <cell r="CS173"/>
          <cell r="CT173"/>
          <cell r="CU173"/>
          <cell r="CV173"/>
          <cell r="CW173"/>
          <cell r="CX173"/>
          <cell r="CY173"/>
          <cell r="CZ173"/>
          <cell r="DA173"/>
          <cell r="DB173"/>
          <cell r="DC173"/>
          <cell r="DD173"/>
          <cell r="DE173"/>
          <cell r="DF173"/>
          <cell r="DG173"/>
          <cell r="DH173"/>
          <cell r="DI173"/>
          <cell r="DJ173"/>
          <cell r="DK173"/>
          <cell r="DL173"/>
          <cell r="DM173"/>
          <cell r="DN173"/>
          <cell r="DO173"/>
          <cell r="DP173"/>
          <cell r="DQ173"/>
          <cell r="DR173"/>
          <cell r="DS173"/>
          <cell r="DT173"/>
          <cell r="DU173"/>
          <cell r="DV173"/>
          <cell r="DW173"/>
          <cell r="DX173"/>
          <cell r="ED173"/>
          <cell r="ES173" t="str">
            <v>785C-APXZ016.00.UN.0 Hydraulic Cylinders - Unassigned</v>
          </cell>
          <cell r="ET173" t="str">
            <v>785C-APX</v>
          </cell>
          <cell r="EV173" t="str">
            <v>Z016.00.UN.0 Hydraulic Cylinders - Unassigned</v>
          </cell>
          <cell r="EW173">
            <v>0</v>
          </cell>
          <cell r="EX173">
            <v>0</v>
          </cell>
        </row>
        <row r="174">
          <cell r="N174"/>
          <cell r="O174"/>
          <cell r="P174"/>
          <cell r="Q174"/>
          <cell r="R174"/>
          <cell r="S174"/>
          <cell r="T174"/>
          <cell r="U174"/>
          <cell r="V174"/>
          <cell r="W174"/>
          <cell r="X174"/>
          <cell r="Y174"/>
          <cell r="Z174"/>
          <cell r="AA174"/>
          <cell r="AB174"/>
          <cell r="AC174"/>
          <cell r="AD174"/>
          <cell r="AE174"/>
          <cell r="AF174"/>
          <cell r="AG174"/>
          <cell r="AH174"/>
          <cell r="AI174"/>
          <cell r="AJ174"/>
          <cell r="AK174"/>
          <cell r="AL174"/>
          <cell r="AM174"/>
          <cell r="AN174"/>
          <cell r="AO174"/>
          <cell r="AP174"/>
          <cell r="AQ174"/>
          <cell r="AR174"/>
          <cell r="AS174"/>
          <cell r="AT174"/>
          <cell r="AU174"/>
          <cell r="AV174"/>
          <cell r="AW174"/>
          <cell r="AX174"/>
          <cell r="AY174"/>
          <cell r="AZ174"/>
          <cell r="BA174"/>
          <cell r="BB174"/>
          <cell r="BC174"/>
          <cell r="BD174"/>
          <cell r="BE174"/>
          <cell r="BF174"/>
          <cell r="BG174"/>
          <cell r="BH174"/>
          <cell r="BI174"/>
          <cell r="BJ174"/>
          <cell r="BK174"/>
          <cell r="BL174"/>
          <cell r="BM174"/>
          <cell r="BN174"/>
          <cell r="BO174"/>
          <cell r="BP174"/>
          <cell r="BQ174"/>
          <cell r="BR174"/>
          <cell r="BS174"/>
          <cell r="BT174"/>
          <cell r="BU174"/>
          <cell r="BV174"/>
          <cell r="BW174"/>
          <cell r="BX174"/>
          <cell r="BY174"/>
          <cell r="BZ174"/>
          <cell r="CA174"/>
          <cell r="CB174"/>
          <cell r="CC174"/>
          <cell r="CD174"/>
          <cell r="CE174"/>
          <cell r="CF174"/>
          <cell r="CG174"/>
          <cell r="CH174"/>
          <cell r="CI174"/>
          <cell r="CJ174"/>
          <cell r="CK174"/>
          <cell r="CL174"/>
          <cell r="CM174"/>
          <cell r="CN174"/>
          <cell r="CO174"/>
          <cell r="CP174"/>
          <cell r="CQ174"/>
          <cell r="CR174"/>
          <cell r="CS174"/>
          <cell r="CT174"/>
          <cell r="CU174"/>
          <cell r="CV174"/>
          <cell r="CW174"/>
          <cell r="CX174"/>
          <cell r="CY174"/>
          <cell r="CZ174"/>
          <cell r="DA174"/>
          <cell r="DB174"/>
          <cell r="DC174"/>
          <cell r="DD174"/>
          <cell r="DE174"/>
          <cell r="DF174"/>
          <cell r="DG174"/>
          <cell r="DH174"/>
          <cell r="DI174"/>
          <cell r="DJ174"/>
          <cell r="DK174"/>
          <cell r="DL174"/>
          <cell r="DM174"/>
          <cell r="DN174"/>
          <cell r="DO174"/>
          <cell r="DP174"/>
          <cell r="DQ174"/>
          <cell r="DR174"/>
          <cell r="DS174"/>
          <cell r="DT174"/>
          <cell r="DU174"/>
          <cell r="DV174"/>
          <cell r="DW174"/>
          <cell r="DX174"/>
          <cell r="ED174"/>
          <cell r="ES174" t="str">
            <v>785C-APXZ017.00.UN.0 Implements - Unassigned</v>
          </cell>
          <cell r="ET174" t="str">
            <v>785C-APX</v>
          </cell>
          <cell r="EV174" t="str">
            <v>Z017.00.UN.0 Implements - Unassigned</v>
          </cell>
          <cell r="EW174">
            <v>46.768090131340699</v>
          </cell>
          <cell r="EX174">
            <v>65</v>
          </cell>
        </row>
        <row r="175">
          <cell r="N175"/>
          <cell r="O175"/>
          <cell r="P175"/>
          <cell r="Q175"/>
          <cell r="R175"/>
          <cell r="S175"/>
          <cell r="T175"/>
          <cell r="U175"/>
          <cell r="V175"/>
          <cell r="W175"/>
          <cell r="X175"/>
          <cell r="Y175"/>
          <cell r="Z175"/>
          <cell r="AA175"/>
          <cell r="AB175"/>
          <cell r="AC175"/>
          <cell r="AD175"/>
          <cell r="AE175"/>
          <cell r="AF175"/>
          <cell r="AG175"/>
          <cell r="AH175"/>
          <cell r="AI175"/>
          <cell r="AJ175"/>
          <cell r="AK175"/>
          <cell r="AL175"/>
          <cell r="AM175"/>
          <cell r="AN175"/>
          <cell r="AO175"/>
          <cell r="AP175"/>
          <cell r="AQ175"/>
          <cell r="AR175"/>
          <cell r="AS175"/>
          <cell r="AT175"/>
          <cell r="AU175"/>
          <cell r="AV175"/>
          <cell r="AW175"/>
          <cell r="AX175"/>
          <cell r="AY175"/>
          <cell r="AZ175"/>
          <cell r="BA175"/>
          <cell r="BB175"/>
          <cell r="BC175"/>
          <cell r="BD175"/>
          <cell r="BE175"/>
          <cell r="BF175"/>
          <cell r="BG175"/>
          <cell r="BH175"/>
          <cell r="BI175"/>
          <cell r="BJ175"/>
          <cell r="BK175"/>
          <cell r="BL175"/>
          <cell r="BM175"/>
          <cell r="BN175"/>
          <cell r="BO175"/>
          <cell r="BP175"/>
          <cell r="BQ175"/>
          <cell r="BR175"/>
          <cell r="BS175"/>
          <cell r="BT175"/>
          <cell r="BU175"/>
          <cell r="BV175"/>
          <cell r="BW175"/>
          <cell r="BX175"/>
          <cell r="BY175"/>
          <cell r="BZ175"/>
          <cell r="CA175"/>
          <cell r="CB175"/>
          <cell r="CC175"/>
          <cell r="CD175"/>
          <cell r="CE175"/>
          <cell r="CF175"/>
          <cell r="CG175"/>
          <cell r="CH175"/>
          <cell r="CI175"/>
          <cell r="CJ175"/>
          <cell r="CK175"/>
          <cell r="CL175"/>
          <cell r="CM175"/>
          <cell r="CN175"/>
          <cell r="CO175"/>
          <cell r="CP175"/>
          <cell r="CQ175"/>
          <cell r="CR175"/>
          <cell r="CS175"/>
          <cell r="CT175"/>
          <cell r="CU175"/>
          <cell r="CV175"/>
          <cell r="CW175"/>
          <cell r="CX175"/>
          <cell r="CY175"/>
          <cell r="CZ175"/>
          <cell r="DA175"/>
          <cell r="DB175"/>
          <cell r="DC175"/>
          <cell r="DD175"/>
          <cell r="DE175"/>
          <cell r="DF175"/>
          <cell r="DG175"/>
          <cell r="DH175"/>
          <cell r="DI175"/>
          <cell r="DJ175"/>
          <cell r="DK175"/>
          <cell r="DL175"/>
          <cell r="DM175"/>
          <cell r="DN175"/>
          <cell r="DO175"/>
          <cell r="DP175"/>
          <cell r="DQ175"/>
          <cell r="DR175"/>
          <cell r="DS175"/>
          <cell r="DT175"/>
          <cell r="DU175"/>
          <cell r="DV175"/>
          <cell r="DW175"/>
          <cell r="DX175"/>
          <cell r="ED175"/>
          <cell r="ES175" t="str">
            <v>785C-APXZ019.00.UN.0 Cab/Operator Station - Unassigned</v>
          </cell>
          <cell r="ET175" t="str">
            <v>785C-APX</v>
          </cell>
          <cell r="EV175" t="str">
            <v>Z019.00.UN.0 Cab/Operator Station - Unassigned</v>
          </cell>
          <cell r="EW175">
            <v>1546.3970671689001</v>
          </cell>
          <cell r="EX175">
            <v>65</v>
          </cell>
        </row>
        <row r="176">
          <cell r="N176"/>
          <cell r="O176"/>
          <cell r="P176"/>
          <cell r="Q176"/>
          <cell r="R176"/>
          <cell r="S176"/>
          <cell r="T176"/>
          <cell r="U176"/>
          <cell r="V176"/>
          <cell r="W176"/>
          <cell r="X176"/>
          <cell r="Y176"/>
          <cell r="Z176"/>
          <cell r="AA176"/>
          <cell r="AB176"/>
          <cell r="AC176"/>
          <cell r="AD176"/>
          <cell r="AE176"/>
          <cell r="AF176"/>
          <cell r="AG176"/>
          <cell r="AH176"/>
          <cell r="AI176"/>
          <cell r="AJ176"/>
          <cell r="AK176"/>
          <cell r="AL176"/>
          <cell r="AM176"/>
          <cell r="AN176"/>
          <cell r="AO176"/>
          <cell r="AP176"/>
          <cell r="AQ176"/>
          <cell r="AR176"/>
          <cell r="AS176"/>
          <cell r="AT176"/>
          <cell r="AU176"/>
          <cell r="AV176"/>
          <cell r="AW176"/>
          <cell r="AX176"/>
          <cell r="AY176"/>
          <cell r="AZ176"/>
          <cell r="BA176"/>
          <cell r="BB176"/>
          <cell r="BC176"/>
          <cell r="BD176"/>
          <cell r="BE176"/>
          <cell r="BF176"/>
          <cell r="BG176"/>
          <cell r="BH176"/>
          <cell r="BI176"/>
          <cell r="BJ176"/>
          <cell r="BK176"/>
          <cell r="BL176"/>
          <cell r="BM176"/>
          <cell r="BN176"/>
          <cell r="BO176"/>
          <cell r="BP176"/>
          <cell r="BQ176"/>
          <cell r="BR176"/>
          <cell r="BS176"/>
          <cell r="BT176"/>
          <cell r="BU176"/>
          <cell r="BV176"/>
          <cell r="BW176"/>
          <cell r="BX176"/>
          <cell r="BY176"/>
          <cell r="BZ176"/>
          <cell r="CA176"/>
          <cell r="CB176"/>
          <cell r="CC176"/>
          <cell r="CD176"/>
          <cell r="CE176"/>
          <cell r="CF176"/>
          <cell r="CG176"/>
          <cell r="CH176"/>
          <cell r="CI176"/>
          <cell r="CJ176"/>
          <cell r="CK176"/>
          <cell r="CL176"/>
          <cell r="CM176"/>
          <cell r="CN176"/>
          <cell r="CO176"/>
          <cell r="CP176"/>
          <cell r="CQ176"/>
          <cell r="CR176"/>
          <cell r="CS176"/>
          <cell r="CT176"/>
          <cell r="CU176"/>
          <cell r="CV176"/>
          <cell r="CW176"/>
          <cell r="CX176"/>
          <cell r="CY176"/>
          <cell r="CZ176"/>
          <cell r="DA176"/>
          <cell r="DB176"/>
          <cell r="DC176"/>
          <cell r="DD176"/>
          <cell r="DE176"/>
          <cell r="DF176"/>
          <cell r="DG176"/>
          <cell r="DH176"/>
          <cell r="DI176"/>
          <cell r="DJ176"/>
          <cell r="DK176"/>
          <cell r="DL176"/>
          <cell r="DM176"/>
          <cell r="DN176"/>
          <cell r="DO176"/>
          <cell r="DP176"/>
          <cell r="DQ176"/>
          <cell r="DR176"/>
          <cell r="DS176"/>
          <cell r="DT176"/>
          <cell r="DU176"/>
          <cell r="DV176"/>
          <cell r="DW176"/>
          <cell r="DX176"/>
          <cell r="ED176"/>
          <cell r="ES176" t="str">
            <v>785C-APXZ020.00.UN.0 Structures (Frame - Chassis) - Unassigned</v>
          </cell>
          <cell r="ET176" t="str">
            <v>785C-APX</v>
          </cell>
          <cell r="EV176" t="str">
            <v>Z020.00.UN.0 Structures (Frame - Chassis) - Unassigned</v>
          </cell>
          <cell r="EW176">
            <v>0</v>
          </cell>
          <cell r="EX176">
            <v>0</v>
          </cell>
        </row>
        <row r="177">
          <cell r="N177"/>
          <cell r="O177"/>
          <cell r="P177"/>
          <cell r="Q177"/>
          <cell r="R177"/>
          <cell r="S177"/>
          <cell r="T177"/>
          <cell r="U177"/>
          <cell r="V177"/>
          <cell r="W177"/>
          <cell r="X177"/>
          <cell r="Y177"/>
          <cell r="Z177"/>
          <cell r="AA177"/>
          <cell r="AB177"/>
          <cell r="AC177"/>
          <cell r="AD177"/>
          <cell r="AE177"/>
          <cell r="AF177"/>
          <cell r="AG177"/>
          <cell r="AH177"/>
          <cell r="AI177"/>
          <cell r="AJ177"/>
          <cell r="AK177"/>
          <cell r="AL177"/>
          <cell r="AM177"/>
          <cell r="AN177"/>
          <cell r="AO177"/>
          <cell r="AP177"/>
          <cell r="AQ177"/>
          <cell r="AR177"/>
          <cell r="AS177"/>
          <cell r="AT177"/>
          <cell r="AU177"/>
          <cell r="AV177"/>
          <cell r="AW177"/>
          <cell r="AX177"/>
          <cell r="AY177"/>
          <cell r="AZ177"/>
          <cell r="BA177"/>
          <cell r="BB177"/>
          <cell r="BC177"/>
          <cell r="BD177"/>
          <cell r="BE177"/>
          <cell r="BF177"/>
          <cell r="BG177"/>
          <cell r="BH177"/>
          <cell r="BI177"/>
          <cell r="BJ177"/>
          <cell r="BK177"/>
          <cell r="BL177"/>
          <cell r="BM177"/>
          <cell r="BN177"/>
          <cell r="BO177"/>
          <cell r="BP177"/>
          <cell r="BQ177"/>
          <cell r="BR177"/>
          <cell r="BS177"/>
          <cell r="BT177"/>
          <cell r="BU177"/>
          <cell r="BV177"/>
          <cell r="BW177"/>
          <cell r="BX177"/>
          <cell r="BY177"/>
          <cell r="BZ177"/>
          <cell r="CA177"/>
          <cell r="CB177"/>
          <cell r="CC177"/>
          <cell r="CD177"/>
          <cell r="CE177"/>
          <cell r="CF177"/>
          <cell r="CG177"/>
          <cell r="CH177"/>
          <cell r="CI177"/>
          <cell r="CJ177"/>
          <cell r="CK177"/>
          <cell r="CL177"/>
          <cell r="CM177"/>
          <cell r="CN177"/>
          <cell r="CO177"/>
          <cell r="CP177"/>
          <cell r="CQ177"/>
          <cell r="CR177"/>
          <cell r="CS177"/>
          <cell r="CT177"/>
          <cell r="CU177"/>
          <cell r="CV177"/>
          <cell r="CW177"/>
          <cell r="CX177"/>
          <cell r="CY177"/>
          <cell r="CZ177"/>
          <cell r="DA177"/>
          <cell r="DB177"/>
          <cell r="DC177"/>
          <cell r="DD177"/>
          <cell r="DE177"/>
          <cell r="DF177"/>
          <cell r="DG177"/>
          <cell r="DH177"/>
          <cell r="DI177"/>
          <cell r="DJ177"/>
          <cell r="DK177"/>
          <cell r="DL177"/>
          <cell r="DM177"/>
          <cell r="DN177"/>
          <cell r="DO177"/>
          <cell r="DP177"/>
          <cell r="DQ177"/>
          <cell r="DR177"/>
          <cell r="DS177"/>
          <cell r="DT177"/>
          <cell r="DU177"/>
          <cell r="DV177"/>
          <cell r="DW177"/>
          <cell r="DX177"/>
          <cell r="ED177"/>
          <cell r="ES177" t="str">
            <v>785C-APXZ021.00.UN.0 Suspension - Unassigned</v>
          </cell>
          <cell r="ET177" t="str">
            <v>785C-APX</v>
          </cell>
          <cell r="EV177" t="str">
            <v>Z021.00.UN.0 Suspension - Unassigned</v>
          </cell>
          <cell r="EW177">
            <v>861.14287698359897</v>
          </cell>
          <cell r="EX177">
            <v>65</v>
          </cell>
        </row>
        <row r="178">
          <cell r="N178"/>
          <cell r="O178"/>
          <cell r="P178"/>
          <cell r="Q178"/>
          <cell r="R178"/>
          <cell r="S178"/>
          <cell r="T178"/>
          <cell r="U178"/>
          <cell r="V178"/>
          <cell r="W178"/>
          <cell r="X178"/>
          <cell r="Y178"/>
          <cell r="Z178"/>
          <cell r="AA178"/>
          <cell r="AB178"/>
          <cell r="AC178"/>
          <cell r="AD178"/>
          <cell r="AE178"/>
          <cell r="AF178"/>
          <cell r="AG178"/>
          <cell r="AH178"/>
          <cell r="AI178"/>
          <cell r="AJ178"/>
          <cell r="AK178"/>
          <cell r="AL178"/>
          <cell r="AM178"/>
          <cell r="AN178"/>
          <cell r="AO178"/>
          <cell r="AP178"/>
          <cell r="AQ178"/>
          <cell r="AR178"/>
          <cell r="AS178"/>
          <cell r="AT178"/>
          <cell r="AU178"/>
          <cell r="AV178"/>
          <cell r="AW178"/>
          <cell r="AX178"/>
          <cell r="AY178"/>
          <cell r="AZ178"/>
          <cell r="BA178"/>
          <cell r="BB178"/>
          <cell r="BC178"/>
          <cell r="BD178"/>
          <cell r="BE178"/>
          <cell r="BF178"/>
          <cell r="BG178"/>
          <cell r="BH178"/>
          <cell r="BI178"/>
          <cell r="BJ178"/>
          <cell r="BK178"/>
          <cell r="BL178"/>
          <cell r="BM178"/>
          <cell r="BN178"/>
          <cell r="BO178"/>
          <cell r="BP178"/>
          <cell r="BQ178"/>
          <cell r="BR178"/>
          <cell r="BS178"/>
          <cell r="BT178"/>
          <cell r="BU178"/>
          <cell r="BV178"/>
          <cell r="BW178"/>
          <cell r="BX178"/>
          <cell r="BY178"/>
          <cell r="BZ178"/>
          <cell r="CA178"/>
          <cell r="CB178"/>
          <cell r="CC178"/>
          <cell r="CD178"/>
          <cell r="CE178"/>
          <cell r="CF178"/>
          <cell r="CG178"/>
          <cell r="CH178"/>
          <cell r="CI178"/>
          <cell r="CJ178"/>
          <cell r="CK178"/>
          <cell r="CL178"/>
          <cell r="CM178"/>
          <cell r="CN178"/>
          <cell r="CO178"/>
          <cell r="CP178"/>
          <cell r="CQ178"/>
          <cell r="CR178"/>
          <cell r="CS178"/>
          <cell r="CT178"/>
          <cell r="CU178"/>
          <cell r="CV178"/>
          <cell r="CW178"/>
          <cell r="CX178"/>
          <cell r="CY178"/>
          <cell r="CZ178"/>
          <cell r="DA178"/>
          <cell r="DB178"/>
          <cell r="DC178"/>
          <cell r="DD178"/>
          <cell r="DE178"/>
          <cell r="DF178"/>
          <cell r="DG178"/>
          <cell r="DH178"/>
          <cell r="DI178"/>
          <cell r="DJ178"/>
          <cell r="DK178"/>
          <cell r="DL178"/>
          <cell r="DM178"/>
          <cell r="DN178"/>
          <cell r="DO178"/>
          <cell r="DP178"/>
          <cell r="DQ178"/>
          <cell r="DR178"/>
          <cell r="DS178"/>
          <cell r="DT178"/>
          <cell r="DU178"/>
          <cell r="DV178"/>
          <cell r="DW178"/>
          <cell r="DX178"/>
          <cell r="ED178"/>
          <cell r="ES178" t="str">
            <v>785C-APXZ022.00.UN.0 Machine - Unassigned</v>
          </cell>
          <cell r="ET178" t="str">
            <v>785C-APX</v>
          </cell>
          <cell r="EV178" t="str">
            <v>Z022.00.UN.0 Machine - Unassigned</v>
          </cell>
          <cell r="EW178">
            <v>391.42858044709101</v>
          </cell>
          <cell r="EX178">
            <v>65</v>
          </cell>
        </row>
        <row r="179">
          <cell r="N179"/>
          <cell r="O179"/>
          <cell r="P179"/>
          <cell r="Q179"/>
          <cell r="R179"/>
          <cell r="S179"/>
          <cell r="T179"/>
          <cell r="U179"/>
          <cell r="V179"/>
          <cell r="W179"/>
          <cell r="X179"/>
          <cell r="Y179"/>
          <cell r="Z179"/>
          <cell r="AA179"/>
          <cell r="AB179"/>
          <cell r="AC179"/>
          <cell r="AD179"/>
          <cell r="AE179"/>
          <cell r="AF179"/>
          <cell r="AG179"/>
          <cell r="AH179"/>
          <cell r="AI179"/>
          <cell r="AJ179"/>
          <cell r="AK179"/>
          <cell r="AL179"/>
          <cell r="AM179"/>
          <cell r="AN179"/>
          <cell r="AO179"/>
          <cell r="AP179"/>
          <cell r="AQ179"/>
          <cell r="AR179"/>
          <cell r="AS179"/>
          <cell r="AT179"/>
          <cell r="AU179"/>
          <cell r="AV179"/>
          <cell r="AW179"/>
          <cell r="AX179"/>
          <cell r="AY179"/>
          <cell r="AZ179"/>
          <cell r="BA179"/>
          <cell r="BB179"/>
          <cell r="BC179"/>
          <cell r="BD179"/>
          <cell r="BE179"/>
          <cell r="BF179"/>
          <cell r="BG179"/>
          <cell r="BH179"/>
          <cell r="BI179"/>
          <cell r="BJ179"/>
          <cell r="BK179"/>
          <cell r="BL179"/>
          <cell r="BM179"/>
          <cell r="BN179"/>
          <cell r="BO179"/>
          <cell r="BP179"/>
          <cell r="BQ179"/>
          <cell r="BR179"/>
          <cell r="BS179"/>
          <cell r="BT179"/>
          <cell r="BU179"/>
          <cell r="BV179"/>
          <cell r="BW179"/>
          <cell r="BX179"/>
          <cell r="BY179"/>
          <cell r="BZ179"/>
          <cell r="CA179"/>
          <cell r="CB179"/>
          <cell r="CC179"/>
          <cell r="CD179"/>
          <cell r="CE179"/>
          <cell r="CF179"/>
          <cell r="CG179"/>
          <cell r="CH179"/>
          <cell r="CI179"/>
          <cell r="CJ179"/>
          <cell r="CK179"/>
          <cell r="CL179"/>
          <cell r="CM179"/>
          <cell r="CN179"/>
          <cell r="CO179"/>
          <cell r="CP179"/>
          <cell r="CQ179"/>
          <cell r="CR179"/>
          <cell r="CS179"/>
          <cell r="CT179"/>
          <cell r="CU179"/>
          <cell r="CV179"/>
          <cell r="CW179"/>
          <cell r="CX179"/>
          <cell r="CY179"/>
          <cell r="CZ179"/>
          <cell r="DA179"/>
          <cell r="DB179"/>
          <cell r="DC179"/>
          <cell r="DD179"/>
          <cell r="DE179"/>
          <cell r="DF179"/>
          <cell r="DG179"/>
          <cell r="DH179"/>
          <cell r="DI179"/>
          <cell r="DJ179"/>
          <cell r="DK179"/>
          <cell r="DL179"/>
          <cell r="DM179"/>
          <cell r="DN179"/>
          <cell r="DO179"/>
          <cell r="DP179"/>
          <cell r="DQ179"/>
          <cell r="DR179"/>
          <cell r="DS179"/>
          <cell r="DT179"/>
          <cell r="DU179"/>
          <cell r="DV179"/>
          <cell r="DW179"/>
          <cell r="DX179"/>
          <cell r="ED179"/>
          <cell r="ES179" t="str">
            <v>785C-APXZ023.00.UN.0 Protection AND Mgmt Systems - Unassigned</v>
          </cell>
          <cell r="ET179" t="str">
            <v>785C-APX</v>
          </cell>
          <cell r="EV179" t="str">
            <v>Z023.00.UN.0 Protection AND Mgmt Systems - Unassigned</v>
          </cell>
          <cell r="EW179">
            <v>51.8515781890951</v>
          </cell>
          <cell r="EX179">
            <v>65</v>
          </cell>
        </row>
        <row r="180">
          <cell r="N180"/>
          <cell r="O180"/>
          <cell r="P180"/>
          <cell r="Q180"/>
          <cell r="R180"/>
          <cell r="S180"/>
          <cell r="T180"/>
          <cell r="U180"/>
          <cell r="V180"/>
          <cell r="W180"/>
          <cell r="X180"/>
          <cell r="Y180"/>
          <cell r="Z180"/>
          <cell r="AA180"/>
          <cell r="AB180"/>
          <cell r="AC180"/>
          <cell r="AD180"/>
          <cell r="AE180"/>
          <cell r="AF180"/>
          <cell r="AG180"/>
          <cell r="AH180"/>
          <cell r="AI180"/>
          <cell r="AJ180"/>
          <cell r="AK180"/>
          <cell r="AL180"/>
          <cell r="AM180"/>
          <cell r="AN180"/>
          <cell r="AO180"/>
          <cell r="AP180"/>
          <cell r="AQ180"/>
          <cell r="AR180"/>
          <cell r="AS180"/>
          <cell r="AT180"/>
          <cell r="AU180"/>
          <cell r="AV180"/>
          <cell r="AW180"/>
          <cell r="AX180"/>
          <cell r="AY180"/>
          <cell r="AZ180"/>
          <cell r="BA180"/>
          <cell r="BB180"/>
          <cell r="BC180"/>
          <cell r="BD180"/>
          <cell r="BE180"/>
          <cell r="BF180"/>
          <cell r="BG180"/>
          <cell r="BH180"/>
          <cell r="BI180"/>
          <cell r="BJ180"/>
          <cell r="BK180"/>
          <cell r="BL180"/>
          <cell r="BM180"/>
          <cell r="BN180"/>
          <cell r="BO180"/>
          <cell r="BP180"/>
          <cell r="BQ180"/>
          <cell r="BR180"/>
          <cell r="BS180"/>
          <cell r="BT180"/>
          <cell r="BU180"/>
          <cell r="BV180"/>
          <cell r="BW180"/>
          <cell r="BX180"/>
          <cell r="BY180"/>
          <cell r="BZ180"/>
          <cell r="CA180"/>
          <cell r="CB180"/>
          <cell r="CC180"/>
          <cell r="CD180"/>
          <cell r="CE180"/>
          <cell r="CF180"/>
          <cell r="CG180"/>
          <cell r="CH180"/>
          <cell r="CI180"/>
          <cell r="CJ180"/>
          <cell r="CK180"/>
          <cell r="CL180"/>
          <cell r="CM180"/>
          <cell r="CN180"/>
          <cell r="CO180"/>
          <cell r="CP180"/>
          <cell r="CQ180"/>
          <cell r="CR180"/>
          <cell r="CS180"/>
          <cell r="CT180"/>
          <cell r="CU180"/>
          <cell r="CV180"/>
          <cell r="CW180"/>
          <cell r="CX180"/>
          <cell r="CY180"/>
          <cell r="CZ180"/>
          <cell r="DA180"/>
          <cell r="DB180"/>
          <cell r="DC180"/>
          <cell r="DD180"/>
          <cell r="DE180"/>
          <cell r="DF180"/>
          <cell r="DG180"/>
          <cell r="DH180"/>
          <cell r="DI180"/>
          <cell r="DJ180"/>
          <cell r="DK180"/>
          <cell r="DL180"/>
          <cell r="DM180"/>
          <cell r="DN180"/>
          <cell r="DO180"/>
          <cell r="DP180"/>
          <cell r="DQ180"/>
          <cell r="DR180"/>
          <cell r="DS180"/>
          <cell r="DT180"/>
          <cell r="DU180"/>
          <cell r="DV180"/>
          <cell r="DW180"/>
          <cell r="DX180"/>
          <cell r="ED180"/>
          <cell r="ES180" t="str">
            <v>785C-APXZ024.00.UN.0 PM - Unassigned</v>
          </cell>
          <cell r="ET180" t="str">
            <v>785C-APX</v>
          </cell>
          <cell r="EV180" t="str">
            <v>Z024.00.UN.0 PM - Unassigned</v>
          </cell>
          <cell r="EW180">
            <v>0</v>
          </cell>
          <cell r="EX180">
            <v>0</v>
          </cell>
        </row>
        <row r="181">
          <cell r="N181"/>
          <cell r="O181"/>
          <cell r="P181"/>
          <cell r="Q181"/>
          <cell r="R181"/>
          <cell r="S181"/>
          <cell r="T181"/>
          <cell r="U181"/>
          <cell r="V181"/>
          <cell r="W181"/>
          <cell r="X181"/>
          <cell r="Y181"/>
          <cell r="Z181"/>
          <cell r="AA181"/>
          <cell r="AB181"/>
          <cell r="AC181"/>
          <cell r="AD181"/>
          <cell r="AE181"/>
          <cell r="AF181"/>
          <cell r="AG181"/>
          <cell r="AH181"/>
          <cell r="AI181"/>
          <cell r="AJ181"/>
          <cell r="AK181"/>
          <cell r="AL181"/>
          <cell r="AM181"/>
          <cell r="AN181"/>
          <cell r="AO181"/>
          <cell r="AP181"/>
          <cell r="AQ181"/>
          <cell r="AR181"/>
          <cell r="AS181"/>
          <cell r="AT181"/>
          <cell r="AU181"/>
          <cell r="AV181"/>
          <cell r="AW181"/>
          <cell r="AX181"/>
          <cell r="AY181"/>
          <cell r="AZ181"/>
          <cell r="BA181"/>
          <cell r="BB181"/>
          <cell r="BC181"/>
          <cell r="BD181"/>
          <cell r="BE181"/>
          <cell r="BF181"/>
          <cell r="BG181"/>
          <cell r="BH181"/>
          <cell r="BI181"/>
          <cell r="BJ181"/>
          <cell r="BK181"/>
          <cell r="BL181"/>
          <cell r="BM181"/>
          <cell r="BN181"/>
          <cell r="BO181"/>
          <cell r="BP181"/>
          <cell r="BQ181"/>
          <cell r="BR181"/>
          <cell r="BS181"/>
          <cell r="BT181"/>
          <cell r="BU181"/>
          <cell r="BV181"/>
          <cell r="BW181"/>
          <cell r="BX181"/>
          <cell r="BY181"/>
          <cell r="BZ181"/>
          <cell r="CA181"/>
          <cell r="CB181"/>
          <cell r="CC181"/>
          <cell r="CD181"/>
          <cell r="CE181"/>
          <cell r="CF181"/>
          <cell r="CG181"/>
          <cell r="CH181"/>
          <cell r="CI181"/>
          <cell r="CJ181"/>
          <cell r="CK181"/>
          <cell r="CL181"/>
          <cell r="CM181"/>
          <cell r="CN181"/>
          <cell r="CO181"/>
          <cell r="CP181"/>
          <cell r="CQ181"/>
          <cell r="CR181"/>
          <cell r="CS181"/>
          <cell r="CT181"/>
          <cell r="CU181"/>
          <cell r="CV181"/>
          <cell r="CW181"/>
          <cell r="CX181"/>
          <cell r="CY181"/>
          <cell r="CZ181"/>
          <cell r="DA181"/>
          <cell r="DB181"/>
          <cell r="DC181"/>
          <cell r="DD181"/>
          <cell r="DE181"/>
          <cell r="DF181"/>
          <cell r="DG181"/>
          <cell r="DH181"/>
          <cell r="DI181"/>
          <cell r="DJ181"/>
          <cell r="DK181"/>
          <cell r="DL181"/>
          <cell r="DM181"/>
          <cell r="DN181"/>
          <cell r="DO181"/>
          <cell r="DP181"/>
          <cell r="DQ181"/>
          <cell r="DR181"/>
          <cell r="DS181"/>
          <cell r="DT181"/>
          <cell r="DU181"/>
          <cell r="DV181"/>
          <cell r="DW181"/>
          <cell r="DX181"/>
          <cell r="ED181"/>
          <cell r="ES181" t="str">
            <v>785C-APXZ025.00.UN.0 Other Services - Unassigned</v>
          </cell>
          <cell r="ET181" t="str">
            <v>785C-APX</v>
          </cell>
          <cell r="EV181" t="str">
            <v>Z025.00.UN.0 Other Services - Unassigned</v>
          </cell>
          <cell r="EW181">
            <v>0</v>
          </cell>
          <cell r="EX181">
            <v>0</v>
          </cell>
        </row>
        <row r="182">
          <cell r="N182"/>
          <cell r="O182"/>
          <cell r="P182"/>
          <cell r="Q182"/>
          <cell r="R182"/>
          <cell r="S182"/>
          <cell r="T182"/>
          <cell r="U182"/>
          <cell r="V182"/>
          <cell r="W182"/>
          <cell r="X182"/>
          <cell r="Y182"/>
          <cell r="Z182"/>
          <cell r="AA182"/>
          <cell r="AB182"/>
          <cell r="AC182"/>
          <cell r="AD182"/>
          <cell r="AE182"/>
          <cell r="AF182"/>
          <cell r="AG182"/>
          <cell r="AH182"/>
          <cell r="AI182"/>
          <cell r="AJ182"/>
          <cell r="AK182"/>
          <cell r="AL182"/>
          <cell r="AM182"/>
          <cell r="AN182"/>
          <cell r="AO182"/>
          <cell r="AP182"/>
          <cell r="AQ182"/>
          <cell r="AR182"/>
          <cell r="AS182"/>
          <cell r="AT182"/>
          <cell r="AU182"/>
          <cell r="AV182"/>
          <cell r="AW182"/>
          <cell r="AX182"/>
          <cell r="AY182"/>
          <cell r="AZ182"/>
          <cell r="BA182"/>
          <cell r="BB182"/>
          <cell r="BC182"/>
          <cell r="BD182"/>
          <cell r="BE182"/>
          <cell r="BF182"/>
          <cell r="BG182"/>
          <cell r="BH182"/>
          <cell r="BI182"/>
          <cell r="BJ182"/>
          <cell r="BK182"/>
          <cell r="BL182"/>
          <cell r="BM182"/>
          <cell r="BN182"/>
          <cell r="BO182"/>
          <cell r="BP182"/>
          <cell r="BQ182"/>
          <cell r="BR182"/>
          <cell r="BS182"/>
          <cell r="BT182"/>
          <cell r="BU182"/>
          <cell r="BV182"/>
          <cell r="BW182"/>
          <cell r="BX182"/>
          <cell r="BY182"/>
          <cell r="BZ182"/>
          <cell r="CA182"/>
          <cell r="CB182"/>
          <cell r="CC182"/>
          <cell r="CD182"/>
          <cell r="CE182"/>
          <cell r="CF182"/>
          <cell r="CG182"/>
          <cell r="CH182"/>
          <cell r="CI182"/>
          <cell r="CJ182"/>
          <cell r="CK182"/>
          <cell r="CL182"/>
          <cell r="CM182"/>
          <cell r="CN182"/>
          <cell r="CO182"/>
          <cell r="CP182"/>
          <cell r="CQ182"/>
          <cell r="CR182"/>
          <cell r="CS182"/>
          <cell r="CT182"/>
          <cell r="CU182"/>
          <cell r="CV182"/>
          <cell r="CW182"/>
          <cell r="CX182"/>
          <cell r="CY182"/>
          <cell r="CZ182"/>
          <cell r="DA182"/>
          <cell r="DB182"/>
          <cell r="DC182"/>
          <cell r="DD182"/>
          <cell r="DE182"/>
          <cell r="DF182"/>
          <cell r="DG182"/>
          <cell r="DH182"/>
          <cell r="DI182"/>
          <cell r="DJ182"/>
          <cell r="DK182"/>
          <cell r="DL182"/>
          <cell r="DM182"/>
          <cell r="DN182"/>
          <cell r="DO182"/>
          <cell r="DP182"/>
          <cell r="DQ182"/>
          <cell r="DR182"/>
          <cell r="DS182"/>
          <cell r="DT182"/>
          <cell r="DU182"/>
          <cell r="DV182"/>
          <cell r="DW182"/>
          <cell r="DX182"/>
          <cell r="ED182"/>
          <cell r="ES182" t="str">
            <v>785C-APXZ026.00.UN.0 Other - Unassigned</v>
          </cell>
          <cell r="ET182" t="str">
            <v>785C-APX</v>
          </cell>
          <cell r="EV182" t="str">
            <v>Z026.00.UN.0 Other - Unassigned</v>
          </cell>
          <cell r="EW182">
            <v>49.818182965993401</v>
          </cell>
          <cell r="EX182">
            <v>32.5</v>
          </cell>
        </row>
        <row r="183">
          <cell r="N183"/>
          <cell r="O183"/>
          <cell r="P183"/>
          <cell r="Q183"/>
          <cell r="R183"/>
          <cell r="S183"/>
          <cell r="T183"/>
          <cell r="U183"/>
          <cell r="V183"/>
          <cell r="W183"/>
          <cell r="X183"/>
          <cell r="Y183"/>
          <cell r="Z183"/>
          <cell r="AA183"/>
          <cell r="AB183"/>
          <cell r="AC183"/>
          <cell r="AD183"/>
          <cell r="AE183"/>
          <cell r="AF183"/>
          <cell r="AG183"/>
          <cell r="AH183"/>
          <cell r="AI183"/>
          <cell r="AJ183"/>
          <cell r="AK183"/>
          <cell r="AL183"/>
          <cell r="AM183"/>
          <cell r="AN183"/>
          <cell r="AO183"/>
          <cell r="AP183"/>
          <cell r="AQ183"/>
          <cell r="AR183"/>
          <cell r="AS183"/>
          <cell r="AT183"/>
          <cell r="AU183"/>
          <cell r="AV183"/>
          <cell r="AW183"/>
          <cell r="AX183"/>
          <cell r="AY183"/>
          <cell r="AZ183"/>
          <cell r="BA183"/>
          <cell r="BB183"/>
          <cell r="BC183"/>
          <cell r="BD183"/>
          <cell r="BE183"/>
          <cell r="BF183"/>
          <cell r="BG183"/>
          <cell r="BH183"/>
          <cell r="BI183"/>
          <cell r="BJ183"/>
          <cell r="BK183"/>
          <cell r="BL183"/>
          <cell r="BM183"/>
          <cell r="BN183"/>
          <cell r="BO183"/>
          <cell r="BP183"/>
          <cell r="BQ183"/>
          <cell r="BR183"/>
          <cell r="BS183"/>
          <cell r="BT183"/>
          <cell r="BU183"/>
          <cell r="BV183"/>
          <cell r="BW183"/>
          <cell r="BX183"/>
          <cell r="BY183"/>
          <cell r="BZ183"/>
          <cell r="CA183"/>
          <cell r="CB183"/>
          <cell r="CC183"/>
          <cell r="CD183"/>
          <cell r="CE183"/>
          <cell r="CF183"/>
          <cell r="CG183"/>
          <cell r="CH183"/>
          <cell r="CI183"/>
          <cell r="CJ183"/>
          <cell r="CK183"/>
          <cell r="CL183"/>
          <cell r="CM183"/>
          <cell r="CN183"/>
          <cell r="CO183"/>
          <cell r="CP183"/>
          <cell r="CQ183"/>
          <cell r="CR183"/>
          <cell r="CS183"/>
          <cell r="CT183"/>
          <cell r="CU183"/>
          <cell r="CV183"/>
          <cell r="CW183"/>
          <cell r="CX183"/>
          <cell r="CY183"/>
          <cell r="CZ183"/>
          <cell r="DA183"/>
          <cell r="DB183"/>
          <cell r="DC183"/>
          <cell r="DD183"/>
          <cell r="DE183"/>
          <cell r="DF183"/>
          <cell r="DG183"/>
          <cell r="DH183"/>
          <cell r="DI183"/>
          <cell r="DJ183"/>
          <cell r="DK183"/>
          <cell r="DL183"/>
          <cell r="DM183"/>
          <cell r="DN183"/>
          <cell r="DO183"/>
          <cell r="DP183"/>
          <cell r="DQ183"/>
          <cell r="DR183"/>
          <cell r="DS183"/>
          <cell r="DT183"/>
          <cell r="DU183"/>
          <cell r="DV183"/>
          <cell r="DW183"/>
          <cell r="DX183"/>
          <cell r="ED183"/>
          <cell r="ES183" t="str">
            <v>785C-APXZ028.00.UN.0 Electric - Unassigned</v>
          </cell>
          <cell r="ET183" t="str">
            <v>785C-APX</v>
          </cell>
          <cell r="EV183" t="str">
            <v>Z028.00.UN.0 Electric - Unassigned</v>
          </cell>
          <cell r="EW183">
            <v>0</v>
          </cell>
          <cell r="EX183">
            <v>0</v>
          </cell>
        </row>
        <row r="184">
          <cell r="N184"/>
          <cell r="O184"/>
          <cell r="P184"/>
          <cell r="Q184"/>
          <cell r="R184"/>
          <cell r="S184"/>
          <cell r="T184"/>
          <cell r="U184"/>
          <cell r="V184"/>
          <cell r="W184"/>
          <cell r="X184"/>
          <cell r="Y184"/>
          <cell r="Z184"/>
          <cell r="AA184"/>
          <cell r="AB184"/>
          <cell r="AC184"/>
          <cell r="AD184"/>
          <cell r="AE184"/>
          <cell r="AF184"/>
          <cell r="AG184"/>
          <cell r="AH184"/>
          <cell r="AI184"/>
          <cell r="AJ184"/>
          <cell r="AK184"/>
          <cell r="AL184"/>
          <cell r="AM184"/>
          <cell r="AN184"/>
          <cell r="AO184"/>
          <cell r="AP184"/>
          <cell r="AQ184"/>
          <cell r="AR184"/>
          <cell r="AS184"/>
          <cell r="AT184"/>
          <cell r="AU184"/>
          <cell r="AV184"/>
          <cell r="AW184"/>
          <cell r="AX184"/>
          <cell r="AY184"/>
          <cell r="AZ184"/>
          <cell r="BA184"/>
          <cell r="BB184"/>
          <cell r="BC184"/>
          <cell r="BD184"/>
          <cell r="BE184"/>
          <cell r="BF184"/>
          <cell r="BG184"/>
          <cell r="BH184"/>
          <cell r="BI184"/>
          <cell r="BJ184"/>
          <cell r="BK184"/>
          <cell r="BL184"/>
          <cell r="BM184"/>
          <cell r="BN184"/>
          <cell r="BO184"/>
          <cell r="BP184"/>
          <cell r="BQ184"/>
          <cell r="BR184"/>
          <cell r="BS184"/>
          <cell r="BT184"/>
          <cell r="BU184"/>
          <cell r="BV184"/>
          <cell r="BW184"/>
          <cell r="BX184"/>
          <cell r="BY184"/>
          <cell r="BZ184"/>
          <cell r="CA184"/>
          <cell r="CB184"/>
          <cell r="CC184"/>
          <cell r="CD184"/>
          <cell r="CE184"/>
          <cell r="CF184"/>
          <cell r="CG184"/>
          <cell r="CH184"/>
          <cell r="CI184"/>
          <cell r="CJ184"/>
          <cell r="CK184"/>
          <cell r="CL184"/>
          <cell r="CM184"/>
          <cell r="CN184"/>
          <cell r="CO184"/>
          <cell r="CP184"/>
          <cell r="CQ184"/>
          <cell r="CR184"/>
          <cell r="CS184"/>
          <cell r="CT184"/>
          <cell r="CU184"/>
          <cell r="CV184"/>
          <cell r="CW184"/>
          <cell r="CX184"/>
          <cell r="CY184"/>
          <cell r="CZ184"/>
          <cell r="DA184"/>
          <cell r="DB184"/>
          <cell r="DC184"/>
          <cell r="DD184"/>
          <cell r="DE184"/>
          <cell r="DF184"/>
          <cell r="DG184"/>
          <cell r="DH184"/>
          <cell r="DI184"/>
          <cell r="DJ184"/>
          <cell r="DK184"/>
          <cell r="DL184"/>
          <cell r="DM184"/>
          <cell r="DN184"/>
          <cell r="DO184"/>
          <cell r="DP184"/>
          <cell r="DQ184"/>
          <cell r="DR184"/>
          <cell r="DS184"/>
          <cell r="DT184"/>
          <cell r="DU184"/>
          <cell r="DV184"/>
          <cell r="DW184"/>
          <cell r="DX184"/>
          <cell r="ED184"/>
          <cell r="ES184" t="str">
            <v>789C-2BW1000.00.CC.1RB ENGINE</v>
          </cell>
          <cell r="ET184" t="str">
            <v>789C-2BW</v>
          </cell>
          <cell r="EV184" t="str">
            <v>1000.00.CC.1RB ENGINE</v>
          </cell>
          <cell r="EW184">
            <v>172526.1655</v>
          </cell>
          <cell r="EX184">
            <v>5850</v>
          </cell>
        </row>
        <row r="185">
          <cell r="N185"/>
          <cell r="O185"/>
          <cell r="P185"/>
          <cell r="Q185"/>
          <cell r="R185"/>
          <cell r="S185"/>
          <cell r="T185"/>
          <cell r="U185"/>
          <cell r="V185"/>
          <cell r="W185"/>
          <cell r="X185"/>
          <cell r="Y185"/>
          <cell r="Z185"/>
          <cell r="AA185"/>
          <cell r="AB185"/>
          <cell r="AC185"/>
          <cell r="AD185"/>
          <cell r="AE185"/>
          <cell r="AF185"/>
          <cell r="AG185"/>
          <cell r="AH185"/>
          <cell r="AI185"/>
          <cell r="AJ185"/>
          <cell r="AK185"/>
          <cell r="AL185"/>
          <cell r="AM185"/>
          <cell r="AN185"/>
          <cell r="AO185"/>
          <cell r="AP185"/>
          <cell r="AQ185"/>
          <cell r="AR185"/>
          <cell r="AS185"/>
          <cell r="AT185"/>
          <cell r="AU185"/>
          <cell r="AV185"/>
          <cell r="AW185"/>
          <cell r="AX185"/>
          <cell r="AY185"/>
          <cell r="AZ185"/>
          <cell r="BA185"/>
          <cell r="BB185"/>
          <cell r="BC185"/>
          <cell r="BD185"/>
          <cell r="BE185"/>
          <cell r="BF185"/>
          <cell r="BG185"/>
          <cell r="BH185"/>
          <cell r="BI185"/>
          <cell r="BJ185"/>
          <cell r="BK185"/>
          <cell r="BL185"/>
          <cell r="BM185"/>
          <cell r="BN185"/>
          <cell r="BO185"/>
          <cell r="BP185"/>
          <cell r="BQ185"/>
          <cell r="BR185"/>
          <cell r="BS185"/>
          <cell r="BT185"/>
          <cell r="BU185"/>
          <cell r="BV185"/>
          <cell r="BW185"/>
          <cell r="BX185"/>
          <cell r="BY185"/>
          <cell r="BZ185"/>
          <cell r="CA185"/>
          <cell r="CB185"/>
          <cell r="CC185"/>
          <cell r="CD185"/>
          <cell r="CE185"/>
          <cell r="CF185"/>
          <cell r="CG185"/>
          <cell r="CH185"/>
          <cell r="CI185"/>
          <cell r="CJ185"/>
          <cell r="CK185"/>
          <cell r="CL185"/>
          <cell r="CM185"/>
          <cell r="CN185"/>
          <cell r="CO185"/>
          <cell r="CP185"/>
          <cell r="CQ185"/>
          <cell r="CR185"/>
          <cell r="CS185"/>
          <cell r="CT185"/>
          <cell r="CU185"/>
          <cell r="CV185"/>
          <cell r="CW185"/>
          <cell r="CX185"/>
          <cell r="CY185"/>
          <cell r="CZ185"/>
          <cell r="DA185"/>
          <cell r="DB185"/>
          <cell r="DC185"/>
          <cell r="DD185"/>
          <cell r="DE185"/>
          <cell r="DF185"/>
          <cell r="DG185"/>
          <cell r="DH185"/>
          <cell r="DI185"/>
          <cell r="DJ185"/>
          <cell r="DK185"/>
          <cell r="DL185"/>
          <cell r="DM185"/>
          <cell r="DN185"/>
          <cell r="DO185"/>
          <cell r="DP185"/>
          <cell r="DQ185"/>
          <cell r="DR185"/>
          <cell r="DS185"/>
          <cell r="DT185"/>
          <cell r="DU185"/>
          <cell r="DV185"/>
          <cell r="DW185"/>
          <cell r="DX185"/>
          <cell r="ED185"/>
          <cell r="ES185" t="str">
            <v>789C-2BW1000.00.CC.2RB ENGINE</v>
          </cell>
          <cell r="ET185" t="str">
            <v>789C-2BW</v>
          </cell>
          <cell r="EV185" t="str">
            <v>1000.00.CC.2RB ENGINE</v>
          </cell>
          <cell r="EW185">
            <v>210093.2255</v>
          </cell>
          <cell r="EX185">
            <v>5850</v>
          </cell>
        </row>
        <row r="186">
          <cell r="N186"/>
          <cell r="O186"/>
          <cell r="P186"/>
          <cell r="Q186"/>
          <cell r="R186"/>
          <cell r="S186"/>
          <cell r="T186"/>
          <cell r="U186"/>
          <cell r="V186"/>
          <cell r="W186"/>
          <cell r="X186"/>
          <cell r="Y186"/>
          <cell r="Z186"/>
          <cell r="AA186"/>
          <cell r="AB186"/>
          <cell r="AC186"/>
          <cell r="AD186"/>
          <cell r="AE186"/>
          <cell r="AF186"/>
          <cell r="AG186"/>
          <cell r="AH186"/>
          <cell r="AI186"/>
          <cell r="AJ186"/>
          <cell r="AK186"/>
          <cell r="AL186"/>
          <cell r="AM186"/>
          <cell r="AN186"/>
          <cell r="AO186"/>
          <cell r="AP186"/>
          <cell r="AQ186"/>
          <cell r="AR186"/>
          <cell r="AS186"/>
          <cell r="AT186"/>
          <cell r="AU186"/>
          <cell r="AV186"/>
          <cell r="AW186"/>
          <cell r="AX186"/>
          <cell r="AY186"/>
          <cell r="AZ186"/>
          <cell r="BA186"/>
          <cell r="BB186"/>
          <cell r="BC186"/>
          <cell r="BD186"/>
          <cell r="BE186"/>
          <cell r="BF186"/>
          <cell r="BG186"/>
          <cell r="BH186"/>
          <cell r="BI186"/>
          <cell r="BJ186"/>
          <cell r="BK186"/>
          <cell r="BL186"/>
          <cell r="BM186"/>
          <cell r="BN186"/>
          <cell r="BO186"/>
          <cell r="BP186"/>
          <cell r="BQ186"/>
          <cell r="BR186"/>
          <cell r="BS186"/>
          <cell r="BT186"/>
          <cell r="BU186"/>
          <cell r="BV186"/>
          <cell r="BW186"/>
          <cell r="BX186"/>
          <cell r="BY186"/>
          <cell r="BZ186"/>
          <cell r="CA186"/>
          <cell r="CB186"/>
          <cell r="CC186"/>
          <cell r="CD186"/>
          <cell r="CE186"/>
          <cell r="CF186"/>
          <cell r="CG186"/>
          <cell r="CH186"/>
          <cell r="CI186"/>
          <cell r="CJ186"/>
          <cell r="CK186"/>
          <cell r="CL186"/>
          <cell r="CM186"/>
          <cell r="CN186"/>
          <cell r="CO186"/>
          <cell r="CP186"/>
          <cell r="CQ186"/>
          <cell r="CR186"/>
          <cell r="CS186"/>
          <cell r="CT186"/>
          <cell r="CU186"/>
          <cell r="CV186"/>
          <cell r="CW186"/>
          <cell r="CX186"/>
          <cell r="CY186"/>
          <cell r="CZ186"/>
          <cell r="DA186"/>
          <cell r="DB186"/>
          <cell r="DC186"/>
          <cell r="DD186"/>
          <cell r="DE186"/>
          <cell r="DF186"/>
          <cell r="DG186"/>
          <cell r="DH186"/>
          <cell r="DI186"/>
          <cell r="DJ186"/>
          <cell r="DK186"/>
          <cell r="DL186"/>
          <cell r="DM186"/>
          <cell r="DN186"/>
          <cell r="DO186"/>
          <cell r="DP186"/>
          <cell r="DQ186"/>
          <cell r="DR186"/>
          <cell r="DS186"/>
          <cell r="DT186"/>
          <cell r="DU186"/>
          <cell r="DV186"/>
          <cell r="DW186"/>
          <cell r="DX186"/>
          <cell r="ED186"/>
          <cell r="ES186" t="str">
            <v>789C-2BW1000.00.IN.0 ENGINE</v>
          </cell>
          <cell r="ET186" t="str">
            <v>789C-2BW</v>
          </cell>
          <cell r="EV186" t="str">
            <v>1000.00.IN.0 ENGINE</v>
          </cell>
          <cell r="EW186">
            <v>0</v>
          </cell>
          <cell r="EX186">
            <v>195</v>
          </cell>
        </row>
        <row r="187">
          <cell r="N187"/>
          <cell r="O187"/>
          <cell r="P187"/>
          <cell r="Q187"/>
          <cell r="R187"/>
          <cell r="S187"/>
          <cell r="T187"/>
          <cell r="U187"/>
          <cell r="V187"/>
          <cell r="W187"/>
          <cell r="X187"/>
          <cell r="Y187"/>
          <cell r="Z187"/>
          <cell r="AA187"/>
          <cell r="AB187"/>
          <cell r="AC187"/>
          <cell r="AD187"/>
          <cell r="AE187"/>
          <cell r="AF187"/>
          <cell r="AG187"/>
          <cell r="AH187"/>
          <cell r="AI187"/>
          <cell r="AJ187"/>
          <cell r="AK187"/>
          <cell r="AL187"/>
          <cell r="AM187"/>
          <cell r="AN187"/>
          <cell r="AO187"/>
          <cell r="AP187"/>
          <cell r="AQ187"/>
          <cell r="AR187"/>
          <cell r="AS187"/>
          <cell r="AT187"/>
          <cell r="AU187"/>
          <cell r="AV187"/>
          <cell r="AW187"/>
          <cell r="AX187"/>
          <cell r="AY187"/>
          <cell r="AZ187"/>
          <cell r="BA187"/>
          <cell r="BB187"/>
          <cell r="BC187"/>
          <cell r="BD187"/>
          <cell r="BE187"/>
          <cell r="BF187"/>
          <cell r="BG187"/>
          <cell r="BH187"/>
          <cell r="BI187"/>
          <cell r="BJ187"/>
          <cell r="BK187"/>
          <cell r="BL187"/>
          <cell r="BM187"/>
          <cell r="BN187"/>
          <cell r="BO187"/>
          <cell r="BP187"/>
          <cell r="BQ187"/>
          <cell r="BR187"/>
          <cell r="BS187"/>
          <cell r="BT187"/>
          <cell r="BU187"/>
          <cell r="BV187"/>
          <cell r="BW187"/>
          <cell r="BX187"/>
          <cell r="BY187"/>
          <cell r="BZ187"/>
          <cell r="CA187"/>
          <cell r="CB187"/>
          <cell r="CC187"/>
          <cell r="CD187"/>
          <cell r="CE187"/>
          <cell r="CF187"/>
          <cell r="CG187"/>
          <cell r="CH187"/>
          <cell r="CI187"/>
          <cell r="CJ187"/>
          <cell r="CK187"/>
          <cell r="CL187"/>
          <cell r="CM187"/>
          <cell r="CN187"/>
          <cell r="CO187"/>
          <cell r="CP187"/>
          <cell r="CQ187"/>
          <cell r="CR187"/>
          <cell r="CS187"/>
          <cell r="CT187"/>
          <cell r="CU187"/>
          <cell r="CV187"/>
          <cell r="CW187"/>
          <cell r="CX187"/>
          <cell r="CY187"/>
          <cell r="CZ187"/>
          <cell r="DA187"/>
          <cell r="DB187"/>
          <cell r="DC187"/>
          <cell r="DD187"/>
          <cell r="DE187"/>
          <cell r="DF187"/>
          <cell r="DG187"/>
          <cell r="DH187"/>
          <cell r="DI187"/>
          <cell r="DJ187"/>
          <cell r="DK187"/>
          <cell r="DL187"/>
          <cell r="DM187"/>
          <cell r="DN187"/>
          <cell r="DO187"/>
          <cell r="DP187"/>
          <cell r="DQ187"/>
          <cell r="DR187"/>
          <cell r="DS187"/>
          <cell r="DT187"/>
          <cell r="DU187"/>
          <cell r="DV187"/>
          <cell r="DW187"/>
          <cell r="DX187"/>
          <cell r="ED187"/>
          <cell r="ES187" t="str">
            <v>789C-2BW1050.00.GR.0 AIR INDUCTION AND EXHAUST SYSTEM</v>
          </cell>
          <cell r="ET187" t="str">
            <v>789C-2BW</v>
          </cell>
          <cell r="EV187" t="str">
            <v>1050.00.GR.0 AIR INDUCTION AND EXHAUST SYSTEM</v>
          </cell>
          <cell r="EW187">
            <v>499.81200000000001</v>
          </cell>
          <cell r="EX187">
            <v>780</v>
          </cell>
        </row>
        <row r="188">
          <cell r="N188"/>
          <cell r="O188"/>
          <cell r="P188"/>
          <cell r="Q188"/>
          <cell r="R188"/>
          <cell r="S188"/>
          <cell r="T188"/>
          <cell r="U188"/>
          <cell r="V188"/>
          <cell r="W188"/>
          <cell r="X188"/>
          <cell r="Y188"/>
          <cell r="Z188"/>
          <cell r="AA188"/>
          <cell r="AB188"/>
          <cell r="AC188"/>
          <cell r="AD188"/>
          <cell r="AE188"/>
          <cell r="AF188"/>
          <cell r="AG188"/>
          <cell r="AH188"/>
          <cell r="AI188"/>
          <cell r="AJ188"/>
          <cell r="AK188"/>
          <cell r="AL188"/>
          <cell r="AM188"/>
          <cell r="AN188"/>
          <cell r="AO188"/>
          <cell r="AP188"/>
          <cell r="AQ188"/>
          <cell r="AR188"/>
          <cell r="AS188"/>
          <cell r="AT188"/>
          <cell r="AU188"/>
          <cell r="AV188"/>
          <cell r="AW188"/>
          <cell r="AX188"/>
          <cell r="AY188"/>
          <cell r="AZ188"/>
          <cell r="BA188"/>
          <cell r="BB188"/>
          <cell r="BC188"/>
          <cell r="BD188"/>
          <cell r="BE188"/>
          <cell r="BF188"/>
          <cell r="BG188"/>
          <cell r="BH188"/>
          <cell r="BI188"/>
          <cell r="BJ188"/>
          <cell r="BK188"/>
          <cell r="BL188"/>
          <cell r="BM188"/>
          <cell r="BN188"/>
          <cell r="BO188"/>
          <cell r="BP188"/>
          <cell r="BQ188"/>
          <cell r="BR188"/>
          <cell r="BS188"/>
          <cell r="BT188"/>
          <cell r="BU188"/>
          <cell r="BV188"/>
          <cell r="BW188"/>
          <cell r="BX188"/>
          <cell r="BY188"/>
          <cell r="BZ188"/>
          <cell r="CA188"/>
          <cell r="CB188"/>
          <cell r="CC188"/>
          <cell r="CD188"/>
          <cell r="CE188"/>
          <cell r="CF188"/>
          <cell r="CG188"/>
          <cell r="CH188"/>
          <cell r="CI188"/>
          <cell r="CJ188"/>
          <cell r="CK188"/>
          <cell r="CL188"/>
          <cell r="CM188"/>
          <cell r="CN188"/>
          <cell r="CO188"/>
          <cell r="CP188"/>
          <cell r="CQ188"/>
          <cell r="CR188"/>
          <cell r="CS188"/>
          <cell r="CT188"/>
          <cell r="CU188"/>
          <cell r="CV188"/>
          <cell r="CW188"/>
          <cell r="CX188"/>
          <cell r="CY188"/>
          <cell r="CZ188"/>
          <cell r="DA188"/>
          <cell r="DB188"/>
          <cell r="DC188"/>
          <cell r="DD188"/>
          <cell r="DE188"/>
          <cell r="DF188"/>
          <cell r="DG188"/>
          <cell r="DH188"/>
          <cell r="DI188"/>
          <cell r="DJ188"/>
          <cell r="DK188"/>
          <cell r="DL188"/>
          <cell r="DM188"/>
          <cell r="DN188"/>
          <cell r="DO188"/>
          <cell r="DP188"/>
          <cell r="DQ188"/>
          <cell r="DR188"/>
          <cell r="DS188"/>
          <cell r="DT188"/>
          <cell r="DU188"/>
          <cell r="DV188"/>
          <cell r="DW188"/>
          <cell r="DX188"/>
          <cell r="ED188"/>
          <cell r="ES188" t="str">
            <v>789C-2BW1052.LF.CC.0 TURBOCHARGER</v>
          </cell>
          <cell r="ET188" t="str">
            <v>789C-2BW</v>
          </cell>
          <cell r="EV188" t="str">
            <v>1052.LF.CC.0 TURBOCHARGER</v>
          </cell>
          <cell r="EW188">
            <v>3873.09</v>
          </cell>
          <cell r="EX188">
            <v>292.5</v>
          </cell>
        </row>
        <row r="189">
          <cell r="N189"/>
          <cell r="O189"/>
          <cell r="P189"/>
          <cell r="Q189"/>
          <cell r="R189"/>
          <cell r="S189"/>
          <cell r="T189"/>
          <cell r="U189"/>
          <cell r="V189"/>
          <cell r="W189"/>
          <cell r="X189"/>
          <cell r="Y189"/>
          <cell r="Z189"/>
          <cell r="AA189"/>
          <cell r="AB189"/>
          <cell r="AC189"/>
          <cell r="AD189"/>
          <cell r="AE189"/>
          <cell r="AF189"/>
          <cell r="AG189"/>
          <cell r="AH189"/>
          <cell r="AI189"/>
          <cell r="AJ189"/>
          <cell r="AK189"/>
          <cell r="AL189"/>
          <cell r="AM189"/>
          <cell r="AN189"/>
          <cell r="AO189"/>
          <cell r="AP189"/>
          <cell r="AQ189"/>
          <cell r="AR189"/>
          <cell r="AS189"/>
          <cell r="AT189"/>
          <cell r="AU189"/>
          <cell r="AV189"/>
          <cell r="AW189"/>
          <cell r="AX189"/>
          <cell r="AY189"/>
          <cell r="AZ189"/>
          <cell r="BA189"/>
          <cell r="BB189"/>
          <cell r="BC189"/>
          <cell r="BD189"/>
          <cell r="BE189"/>
          <cell r="BF189"/>
          <cell r="BG189"/>
          <cell r="BH189"/>
          <cell r="BI189"/>
          <cell r="BJ189"/>
          <cell r="BK189"/>
          <cell r="BL189"/>
          <cell r="BM189"/>
          <cell r="BN189"/>
          <cell r="BO189"/>
          <cell r="BP189"/>
          <cell r="BQ189"/>
          <cell r="BR189"/>
          <cell r="BS189"/>
          <cell r="BT189"/>
          <cell r="BU189"/>
          <cell r="BV189"/>
          <cell r="BW189"/>
          <cell r="BX189"/>
          <cell r="BY189"/>
          <cell r="BZ189"/>
          <cell r="CA189"/>
          <cell r="CB189"/>
          <cell r="CC189"/>
          <cell r="CD189"/>
          <cell r="CE189"/>
          <cell r="CF189"/>
          <cell r="CG189"/>
          <cell r="CH189"/>
          <cell r="CI189"/>
          <cell r="CJ189"/>
          <cell r="CK189"/>
          <cell r="CL189"/>
          <cell r="CM189"/>
          <cell r="CN189"/>
          <cell r="CO189"/>
          <cell r="CP189"/>
          <cell r="CQ189"/>
          <cell r="CR189"/>
          <cell r="CS189"/>
          <cell r="CT189"/>
          <cell r="CU189"/>
          <cell r="CV189"/>
          <cell r="CW189"/>
          <cell r="CX189"/>
          <cell r="CY189"/>
          <cell r="CZ189"/>
          <cell r="DA189"/>
          <cell r="DB189"/>
          <cell r="DC189"/>
          <cell r="DD189"/>
          <cell r="DE189"/>
          <cell r="DF189"/>
          <cell r="DG189"/>
          <cell r="DH189"/>
          <cell r="DI189"/>
          <cell r="DJ189"/>
          <cell r="DK189"/>
          <cell r="DL189"/>
          <cell r="DM189"/>
          <cell r="DN189"/>
          <cell r="DO189"/>
          <cell r="DP189"/>
          <cell r="DQ189"/>
          <cell r="DR189"/>
          <cell r="DS189"/>
          <cell r="DT189"/>
          <cell r="DU189"/>
          <cell r="DV189"/>
          <cell r="DW189"/>
          <cell r="DX189"/>
          <cell r="ED189"/>
          <cell r="ES189" t="str">
            <v>789C-2BW1052.LR.CC.0 TURBOCHARGER</v>
          </cell>
          <cell r="ET189" t="str">
            <v>789C-2BW</v>
          </cell>
          <cell r="EV189" t="str">
            <v>1052.LR.CC.0 TURBOCHARGER</v>
          </cell>
          <cell r="EW189">
            <v>3873.09</v>
          </cell>
          <cell r="EX189">
            <v>292.5</v>
          </cell>
        </row>
        <row r="190">
          <cell r="N190"/>
          <cell r="O190"/>
          <cell r="P190"/>
          <cell r="Q190"/>
          <cell r="R190"/>
          <cell r="S190"/>
          <cell r="T190"/>
          <cell r="U190"/>
          <cell r="V190"/>
          <cell r="W190"/>
          <cell r="X190"/>
          <cell r="Y190"/>
          <cell r="Z190"/>
          <cell r="AA190"/>
          <cell r="AB190"/>
          <cell r="AC190"/>
          <cell r="AD190"/>
          <cell r="AE190"/>
          <cell r="AF190"/>
          <cell r="AG190"/>
          <cell r="AH190"/>
          <cell r="AI190"/>
          <cell r="AJ190"/>
          <cell r="AK190"/>
          <cell r="AL190"/>
          <cell r="AM190"/>
          <cell r="AN190"/>
          <cell r="AO190"/>
          <cell r="AP190"/>
          <cell r="AQ190"/>
          <cell r="AR190"/>
          <cell r="AS190"/>
          <cell r="AT190"/>
          <cell r="AU190"/>
          <cell r="AV190"/>
          <cell r="AW190"/>
          <cell r="AX190"/>
          <cell r="AY190"/>
          <cell r="AZ190"/>
          <cell r="BA190"/>
          <cell r="BB190"/>
          <cell r="BC190"/>
          <cell r="BD190"/>
          <cell r="BE190"/>
          <cell r="BF190"/>
          <cell r="BG190"/>
          <cell r="BH190"/>
          <cell r="BI190"/>
          <cell r="BJ190"/>
          <cell r="BK190"/>
          <cell r="BL190"/>
          <cell r="BM190"/>
          <cell r="BN190"/>
          <cell r="BO190"/>
          <cell r="BP190"/>
          <cell r="BQ190"/>
          <cell r="BR190"/>
          <cell r="BS190"/>
          <cell r="BT190"/>
          <cell r="BU190"/>
          <cell r="BV190"/>
          <cell r="BW190"/>
          <cell r="BX190"/>
          <cell r="BY190"/>
          <cell r="BZ190"/>
          <cell r="CA190"/>
          <cell r="CB190"/>
          <cell r="CC190"/>
          <cell r="CD190"/>
          <cell r="CE190"/>
          <cell r="CF190"/>
          <cell r="CG190"/>
          <cell r="CH190"/>
          <cell r="CI190"/>
          <cell r="CJ190"/>
          <cell r="CK190"/>
          <cell r="CL190"/>
          <cell r="CM190"/>
          <cell r="CN190"/>
          <cell r="CO190"/>
          <cell r="CP190"/>
          <cell r="CQ190"/>
          <cell r="CR190"/>
          <cell r="CS190"/>
          <cell r="CT190"/>
          <cell r="CU190"/>
          <cell r="CV190"/>
          <cell r="CW190"/>
          <cell r="CX190"/>
          <cell r="CY190"/>
          <cell r="CZ190"/>
          <cell r="DA190"/>
          <cell r="DB190"/>
          <cell r="DC190"/>
          <cell r="DD190"/>
          <cell r="DE190"/>
          <cell r="DF190"/>
          <cell r="DG190"/>
          <cell r="DH190"/>
          <cell r="DI190"/>
          <cell r="DJ190"/>
          <cell r="DK190"/>
          <cell r="DL190"/>
          <cell r="DM190"/>
          <cell r="DN190"/>
          <cell r="DO190"/>
          <cell r="DP190"/>
          <cell r="DQ190"/>
          <cell r="DR190"/>
          <cell r="DS190"/>
          <cell r="DT190"/>
          <cell r="DU190"/>
          <cell r="DV190"/>
          <cell r="DW190"/>
          <cell r="DX190"/>
          <cell r="ED190"/>
          <cell r="ES190" t="str">
            <v>789C-2BW1052.RF.CC.0 TURBOCHARGER</v>
          </cell>
          <cell r="ET190" t="str">
            <v>789C-2BW</v>
          </cell>
          <cell r="EV190" t="str">
            <v>1052.RF.CC.0 TURBOCHARGER</v>
          </cell>
          <cell r="EW190">
            <v>3873.09</v>
          </cell>
          <cell r="EX190">
            <v>292.5</v>
          </cell>
        </row>
        <row r="191">
          <cell r="N191"/>
          <cell r="O191"/>
          <cell r="P191"/>
          <cell r="Q191"/>
          <cell r="R191"/>
          <cell r="S191"/>
          <cell r="T191"/>
          <cell r="U191"/>
          <cell r="V191"/>
          <cell r="W191"/>
          <cell r="X191"/>
          <cell r="Y191"/>
          <cell r="Z191"/>
          <cell r="AA191"/>
          <cell r="AB191"/>
          <cell r="AC191"/>
          <cell r="AD191"/>
          <cell r="AE191"/>
          <cell r="AF191"/>
          <cell r="AG191"/>
          <cell r="AH191"/>
          <cell r="AI191"/>
          <cell r="AJ191"/>
          <cell r="AK191"/>
          <cell r="AL191"/>
          <cell r="AM191"/>
          <cell r="AN191"/>
          <cell r="AO191"/>
          <cell r="AP191"/>
          <cell r="AQ191"/>
          <cell r="AR191"/>
          <cell r="AS191"/>
          <cell r="AT191"/>
          <cell r="AU191"/>
          <cell r="AV191"/>
          <cell r="AW191"/>
          <cell r="AX191"/>
          <cell r="AY191"/>
          <cell r="AZ191"/>
          <cell r="BA191"/>
          <cell r="BB191"/>
          <cell r="BC191"/>
          <cell r="BD191"/>
          <cell r="BE191"/>
          <cell r="BF191"/>
          <cell r="BG191"/>
          <cell r="BH191"/>
          <cell r="BI191"/>
          <cell r="BJ191"/>
          <cell r="BK191"/>
          <cell r="BL191"/>
          <cell r="BM191"/>
          <cell r="BN191"/>
          <cell r="BO191"/>
          <cell r="BP191"/>
          <cell r="BQ191"/>
          <cell r="BR191"/>
          <cell r="BS191"/>
          <cell r="BT191"/>
          <cell r="BU191"/>
          <cell r="BV191"/>
          <cell r="BW191"/>
          <cell r="BX191"/>
          <cell r="BY191"/>
          <cell r="BZ191"/>
          <cell r="CA191"/>
          <cell r="CB191"/>
          <cell r="CC191"/>
          <cell r="CD191"/>
          <cell r="CE191"/>
          <cell r="CF191"/>
          <cell r="CG191"/>
          <cell r="CH191"/>
          <cell r="CI191"/>
          <cell r="CJ191"/>
          <cell r="CK191"/>
          <cell r="CL191"/>
          <cell r="CM191"/>
          <cell r="CN191"/>
          <cell r="CO191"/>
          <cell r="CP191"/>
          <cell r="CQ191"/>
          <cell r="CR191"/>
          <cell r="CS191"/>
          <cell r="CT191"/>
          <cell r="CU191"/>
          <cell r="CV191"/>
          <cell r="CW191"/>
          <cell r="CX191"/>
          <cell r="CY191"/>
          <cell r="CZ191"/>
          <cell r="DA191"/>
          <cell r="DB191"/>
          <cell r="DC191"/>
          <cell r="DD191"/>
          <cell r="DE191"/>
          <cell r="DF191"/>
          <cell r="DG191"/>
          <cell r="DH191"/>
          <cell r="DI191"/>
          <cell r="DJ191"/>
          <cell r="DK191"/>
          <cell r="DL191"/>
          <cell r="DM191"/>
          <cell r="DN191"/>
          <cell r="DO191"/>
          <cell r="DP191"/>
          <cell r="DQ191"/>
          <cell r="DR191"/>
          <cell r="DS191"/>
          <cell r="DT191"/>
          <cell r="DU191"/>
          <cell r="DV191"/>
          <cell r="DW191"/>
          <cell r="DX191"/>
          <cell r="ED191"/>
          <cell r="ES191" t="str">
            <v>789C-2BW1052.RR.CC.0 TURBOCHARGER</v>
          </cell>
          <cell r="ET191" t="str">
            <v>789C-2BW</v>
          </cell>
          <cell r="EV191" t="str">
            <v>1052.RR.CC.0 TURBOCHARGER</v>
          </cell>
          <cell r="EW191">
            <v>3873.09</v>
          </cell>
          <cell r="EX191">
            <v>292.5</v>
          </cell>
        </row>
        <row r="192">
          <cell r="N192"/>
          <cell r="O192"/>
          <cell r="P192"/>
          <cell r="Q192"/>
          <cell r="R192"/>
          <cell r="S192"/>
          <cell r="T192"/>
          <cell r="U192"/>
          <cell r="V192"/>
          <cell r="W192"/>
          <cell r="X192"/>
          <cell r="Y192"/>
          <cell r="Z192"/>
          <cell r="AA192"/>
          <cell r="AB192"/>
          <cell r="AC192"/>
          <cell r="AD192"/>
          <cell r="AE192"/>
          <cell r="AF192"/>
          <cell r="AG192"/>
          <cell r="AH192"/>
          <cell r="AI192"/>
          <cell r="AJ192"/>
          <cell r="AK192"/>
          <cell r="AL192"/>
          <cell r="AM192"/>
          <cell r="AN192"/>
          <cell r="AO192"/>
          <cell r="AP192"/>
          <cell r="AQ192"/>
          <cell r="AR192"/>
          <cell r="AS192"/>
          <cell r="AT192"/>
          <cell r="AU192"/>
          <cell r="AV192"/>
          <cell r="AW192"/>
          <cell r="AX192"/>
          <cell r="AY192"/>
          <cell r="AZ192"/>
          <cell r="BA192"/>
          <cell r="BB192"/>
          <cell r="BC192"/>
          <cell r="BD192"/>
          <cell r="BE192"/>
          <cell r="BF192"/>
          <cell r="BG192"/>
          <cell r="BH192"/>
          <cell r="BI192"/>
          <cell r="BJ192"/>
          <cell r="BK192"/>
          <cell r="BL192"/>
          <cell r="BM192"/>
          <cell r="BN192"/>
          <cell r="BO192"/>
          <cell r="BP192"/>
          <cell r="BQ192"/>
          <cell r="BR192"/>
          <cell r="BS192"/>
          <cell r="BT192"/>
          <cell r="BU192"/>
          <cell r="BV192"/>
          <cell r="BW192"/>
          <cell r="BX192"/>
          <cell r="BY192"/>
          <cell r="BZ192"/>
          <cell r="CA192"/>
          <cell r="CB192"/>
          <cell r="CC192"/>
          <cell r="CD192"/>
          <cell r="CE192"/>
          <cell r="CF192"/>
          <cell r="CG192"/>
          <cell r="CH192"/>
          <cell r="CI192"/>
          <cell r="CJ192"/>
          <cell r="CK192"/>
          <cell r="CL192"/>
          <cell r="CM192"/>
          <cell r="CN192"/>
          <cell r="CO192"/>
          <cell r="CP192"/>
          <cell r="CQ192"/>
          <cell r="CR192"/>
          <cell r="CS192"/>
          <cell r="CT192"/>
          <cell r="CU192"/>
          <cell r="CV192"/>
          <cell r="CW192"/>
          <cell r="CX192"/>
          <cell r="CY192"/>
          <cell r="CZ192"/>
          <cell r="DA192"/>
          <cell r="DB192"/>
          <cell r="DC192"/>
          <cell r="DD192"/>
          <cell r="DE192"/>
          <cell r="DF192"/>
          <cell r="DG192"/>
          <cell r="DH192"/>
          <cell r="DI192"/>
          <cell r="DJ192"/>
          <cell r="DK192"/>
          <cell r="DL192"/>
          <cell r="DM192"/>
          <cell r="DN192"/>
          <cell r="DO192"/>
          <cell r="DP192"/>
          <cell r="DQ192"/>
          <cell r="DR192"/>
          <cell r="DS192"/>
          <cell r="DT192"/>
          <cell r="DU192"/>
          <cell r="DV192"/>
          <cell r="DW192"/>
          <cell r="DX192"/>
          <cell r="ED192"/>
          <cell r="ES192" t="str">
            <v>789C-2BW1054.PY.CC.0 AIR FILTER ELEMENT</v>
          </cell>
          <cell r="ET192" t="str">
            <v>789C-2BW</v>
          </cell>
          <cell r="EV192" t="str">
            <v>1054.PY.CC.0 AIR FILTER ELEMENT</v>
          </cell>
          <cell r="EW192">
            <v>561.14</v>
          </cell>
          <cell r="EX192">
            <v>65</v>
          </cell>
        </row>
        <row r="193">
          <cell r="N193"/>
          <cell r="O193"/>
          <cell r="P193"/>
          <cell r="Q193"/>
          <cell r="R193"/>
          <cell r="S193"/>
          <cell r="T193"/>
          <cell r="U193"/>
          <cell r="V193"/>
          <cell r="W193"/>
          <cell r="X193"/>
          <cell r="Y193"/>
          <cell r="Z193"/>
          <cell r="AA193"/>
          <cell r="AB193"/>
          <cell r="AC193"/>
          <cell r="AD193"/>
          <cell r="AE193"/>
          <cell r="AF193"/>
          <cell r="AG193"/>
          <cell r="AH193"/>
          <cell r="AI193"/>
          <cell r="AJ193"/>
          <cell r="AK193"/>
          <cell r="AL193"/>
          <cell r="AM193"/>
          <cell r="AN193"/>
          <cell r="AO193"/>
          <cell r="AP193"/>
          <cell r="AQ193"/>
          <cell r="AR193"/>
          <cell r="AS193"/>
          <cell r="AT193"/>
          <cell r="AU193"/>
          <cell r="AV193"/>
          <cell r="AW193"/>
          <cell r="AX193"/>
          <cell r="AY193"/>
          <cell r="AZ193"/>
          <cell r="BA193"/>
          <cell r="BB193"/>
          <cell r="BC193"/>
          <cell r="BD193"/>
          <cell r="BE193"/>
          <cell r="BF193"/>
          <cell r="BG193"/>
          <cell r="BH193"/>
          <cell r="BI193"/>
          <cell r="BJ193"/>
          <cell r="BK193"/>
          <cell r="BL193"/>
          <cell r="BM193"/>
          <cell r="BN193"/>
          <cell r="BO193"/>
          <cell r="BP193"/>
          <cell r="BQ193"/>
          <cell r="BR193"/>
          <cell r="BS193"/>
          <cell r="BT193"/>
          <cell r="BU193"/>
          <cell r="BV193"/>
          <cell r="BW193"/>
          <cell r="BX193"/>
          <cell r="BY193"/>
          <cell r="BZ193"/>
          <cell r="CA193"/>
          <cell r="CB193"/>
          <cell r="CC193"/>
          <cell r="CD193"/>
          <cell r="CE193"/>
          <cell r="CF193"/>
          <cell r="CG193"/>
          <cell r="CH193"/>
          <cell r="CI193"/>
          <cell r="CJ193"/>
          <cell r="CK193"/>
          <cell r="CL193"/>
          <cell r="CM193"/>
          <cell r="CN193"/>
          <cell r="CO193"/>
          <cell r="CP193"/>
          <cell r="CQ193"/>
          <cell r="CR193"/>
          <cell r="CS193"/>
          <cell r="CT193"/>
          <cell r="CU193"/>
          <cell r="CV193"/>
          <cell r="CW193"/>
          <cell r="CX193"/>
          <cell r="CY193"/>
          <cell r="CZ193"/>
          <cell r="DA193"/>
          <cell r="DB193"/>
          <cell r="DC193"/>
          <cell r="DD193"/>
          <cell r="DE193"/>
          <cell r="DF193"/>
          <cell r="DG193"/>
          <cell r="DH193"/>
          <cell r="DI193"/>
          <cell r="DJ193"/>
          <cell r="DK193"/>
          <cell r="DL193"/>
          <cell r="DM193"/>
          <cell r="DN193"/>
          <cell r="DO193"/>
          <cell r="DP193"/>
          <cell r="DQ193"/>
          <cell r="DR193"/>
          <cell r="DS193"/>
          <cell r="DT193"/>
          <cell r="DU193"/>
          <cell r="DV193"/>
          <cell r="DW193"/>
          <cell r="DX193"/>
          <cell r="ED193"/>
          <cell r="ES193" t="str">
            <v>789C-2BW1054.SE.CC.0 AIR FILTER ELEMENT</v>
          </cell>
          <cell r="ET193" t="str">
            <v>789C-2BW</v>
          </cell>
          <cell r="EV193" t="str">
            <v>1054.SE.CC.0 AIR FILTER ELEMENT</v>
          </cell>
          <cell r="EW193">
            <v>301.58</v>
          </cell>
          <cell r="EX193">
            <v>65</v>
          </cell>
        </row>
        <row r="194">
          <cell r="N194"/>
          <cell r="O194"/>
          <cell r="P194"/>
          <cell r="Q194"/>
          <cell r="R194"/>
          <cell r="S194"/>
          <cell r="T194"/>
          <cell r="U194"/>
          <cell r="V194"/>
          <cell r="W194"/>
          <cell r="X194"/>
          <cell r="Y194"/>
          <cell r="Z194"/>
          <cell r="AA194"/>
          <cell r="AB194"/>
          <cell r="AC194"/>
          <cell r="AD194"/>
          <cell r="AE194"/>
          <cell r="AF194"/>
          <cell r="AG194"/>
          <cell r="AH194"/>
          <cell r="AI194"/>
          <cell r="AJ194"/>
          <cell r="AK194"/>
          <cell r="AL194"/>
          <cell r="AM194"/>
          <cell r="AN194"/>
          <cell r="AO194"/>
          <cell r="AP194"/>
          <cell r="AQ194"/>
          <cell r="AR194"/>
          <cell r="AS194"/>
          <cell r="AT194"/>
          <cell r="AU194"/>
          <cell r="AV194"/>
          <cell r="AW194"/>
          <cell r="AX194"/>
          <cell r="AY194"/>
          <cell r="AZ194"/>
          <cell r="BA194"/>
          <cell r="BB194"/>
          <cell r="BC194"/>
          <cell r="BD194"/>
          <cell r="BE194"/>
          <cell r="BF194"/>
          <cell r="BG194"/>
          <cell r="BH194"/>
          <cell r="BI194"/>
          <cell r="BJ194"/>
          <cell r="BK194"/>
          <cell r="BL194"/>
          <cell r="BM194"/>
          <cell r="BN194"/>
          <cell r="BO194"/>
          <cell r="BP194"/>
          <cell r="BQ194"/>
          <cell r="BR194"/>
          <cell r="BS194"/>
          <cell r="BT194"/>
          <cell r="BU194"/>
          <cell r="BV194"/>
          <cell r="BW194"/>
          <cell r="BX194"/>
          <cell r="BY194"/>
          <cell r="BZ194"/>
          <cell r="CA194"/>
          <cell r="CB194"/>
          <cell r="CC194"/>
          <cell r="CD194"/>
          <cell r="CE194"/>
          <cell r="CF194"/>
          <cell r="CG194"/>
          <cell r="CH194"/>
          <cell r="CI194"/>
          <cell r="CJ194"/>
          <cell r="CK194"/>
          <cell r="CL194"/>
          <cell r="CM194"/>
          <cell r="CN194"/>
          <cell r="CO194"/>
          <cell r="CP194"/>
          <cell r="CQ194"/>
          <cell r="CR194"/>
          <cell r="CS194"/>
          <cell r="CT194"/>
          <cell r="CU194"/>
          <cell r="CV194"/>
          <cell r="CW194"/>
          <cell r="CX194"/>
          <cell r="CY194"/>
          <cell r="CZ194"/>
          <cell r="DA194"/>
          <cell r="DB194"/>
          <cell r="DC194"/>
          <cell r="DD194"/>
          <cell r="DE194"/>
          <cell r="DF194"/>
          <cell r="DG194"/>
          <cell r="DH194"/>
          <cell r="DI194"/>
          <cell r="DJ194"/>
          <cell r="DK194"/>
          <cell r="DL194"/>
          <cell r="DM194"/>
          <cell r="DN194"/>
          <cell r="DO194"/>
          <cell r="DP194"/>
          <cell r="DQ194"/>
          <cell r="DR194"/>
          <cell r="DS194"/>
          <cell r="DT194"/>
          <cell r="DU194"/>
          <cell r="DV194"/>
          <cell r="DW194"/>
          <cell r="DX194"/>
          <cell r="ED194"/>
          <cell r="ES194" t="str">
            <v>789C-2BW1062.00.CC.0 MUFFLER</v>
          </cell>
          <cell r="ET194" t="str">
            <v>789C-2BW</v>
          </cell>
          <cell r="EV194" t="str">
            <v>1062.00.CC.0 MUFFLER</v>
          </cell>
          <cell r="EW194">
            <v>4092.4259999999999</v>
          </cell>
          <cell r="EX194">
            <v>81.25</v>
          </cell>
        </row>
        <row r="195">
          <cell r="N195"/>
          <cell r="O195"/>
          <cell r="P195"/>
          <cell r="Q195"/>
          <cell r="R195"/>
          <cell r="S195"/>
          <cell r="T195"/>
          <cell r="U195"/>
          <cell r="V195"/>
          <cell r="W195"/>
          <cell r="X195"/>
          <cell r="Y195"/>
          <cell r="Z195"/>
          <cell r="AA195"/>
          <cell r="AB195"/>
          <cell r="AC195"/>
          <cell r="AD195"/>
          <cell r="AE195"/>
          <cell r="AF195"/>
          <cell r="AG195"/>
          <cell r="AH195"/>
          <cell r="AI195"/>
          <cell r="AJ195"/>
          <cell r="AK195"/>
          <cell r="AL195"/>
          <cell r="AM195"/>
          <cell r="AN195"/>
          <cell r="AO195"/>
          <cell r="AP195"/>
          <cell r="AQ195"/>
          <cell r="AR195"/>
          <cell r="AS195"/>
          <cell r="AT195"/>
          <cell r="AU195"/>
          <cell r="AV195"/>
          <cell r="AW195"/>
          <cell r="AX195"/>
          <cell r="AY195"/>
          <cell r="AZ195"/>
          <cell r="BA195"/>
          <cell r="BB195"/>
          <cell r="BC195"/>
          <cell r="BD195"/>
          <cell r="BE195"/>
          <cell r="BF195"/>
          <cell r="BG195"/>
          <cell r="BH195"/>
          <cell r="BI195"/>
          <cell r="BJ195"/>
          <cell r="BK195"/>
          <cell r="BL195"/>
          <cell r="BM195"/>
          <cell r="BN195"/>
          <cell r="BO195"/>
          <cell r="BP195"/>
          <cell r="BQ195"/>
          <cell r="BR195"/>
          <cell r="BS195"/>
          <cell r="BT195"/>
          <cell r="BU195"/>
          <cell r="BV195"/>
          <cell r="BW195"/>
          <cell r="BX195"/>
          <cell r="BY195"/>
          <cell r="BZ195"/>
          <cell r="CA195"/>
          <cell r="CB195"/>
          <cell r="CC195"/>
          <cell r="CD195"/>
          <cell r="CE195"/>
          <cell r="CF195"/>
          <cell r="CG195"/>
          <cell r="CH195"/>
          <cell r="CI195"/>
          <cell r="CJ195"/>
          <cell r="CK195"/>
          <cell r="CL195"/>
          <cell r="CM195"/>
          <cell r="CN195"/>
          <cell r="CO195"/>
          <cell r="CP195"/>
          <cell r="CQ195"/>
          <cell r="CR195"/>
          <cell r="CS195"/>
          <cell r="CT195"/>
          <cell r="CU195"/>
          <cell r="CV195"/>
          <cell r="CW195"/>
          <cell r="CX195"/>
          <cell r="CY195"/>
          <cell r="CZ195"/>
          <cell r="DA195"/>
          <cell r="DB195"/>
          <cell r="DC195"/>
          <cell r="DD195"/>
          <cell r="DE195"/>
          <cell r="DF195"/>
          <cell r="DG195"/>
          <cell r="DH195"/>
          <cell r="DI195"/>
          <cell r="DJ195"/>
          <cell r="DK195"/>
          <cell r="DL195"/>
          <cell r="DM195"/>
          <cell r="DN195"/>
          <cell r="DO195"/>
          <cell r="DP195"/>
          <cell r="DQ195"/>
          <cell r="DR195"/>
          <cell r="DS195"/>
          <cell r="DT195"/>
          <cell r="DU195"/>
          <cell r="DV195"/>
          <cell r="DW195"/>
          <cell r="DX195"/>
          <cell r="ED195"/>
          <cell r="ES195" t="str">
            <v>789C-2BW1102.00.RM.0 ROCKER SHAFT ASSEMBLY</v>
          </cell>
          <cell r="ET195" t="str">
            <v>789C-2BW</v>
          </cell>
          <cell r="EV195" t="str">
            <v>1102.00.RM.0 ROCKER SHAFT ASSEMBLY</v>
          </cell>
          <cell r="EW195">
            <v>419.84</v>
          </cell>
          <cell r="EX195">
            <v>520</v>
          </cell>
        </row>
        <row r="196">
          <cell r="N196"/>
          <cell r="O196"/>
          <cell r="P196"/>
          <cell r="Q196"/>
          <cell r="R196"/>
          <cell r="S196"/>
          <cell r="T196"/>
          <cell r="U196"/>
          <cell r="V196"/>
          <cell r="W196"/>
          <cell r="X196"/>
          <cell r="Y196"/>
          <cell r="Z196"/>
          <cell r="AA196"/>
          <cell r="AB196"/>
          <cell r="AC196"/>
          <cell r="AD196"/>
          <cell r="AE196"/>
          <cell r="AF196"/>
          <cell r="AG196"/>
          <cell r="AH196"/>
          <cell r="AI196"/>
          <cell r="AJ196"/>
          <cell r="AK196"/>
          <cell r="AL196"/>
          <cell r="AM196"/>
          <cell r="AN196"/>
          <cell r="AO196"/>
          <cell r="AP196"/>
          <cell r="AQ196"/>
          <cell r="AR196"/>
          <cell r="AS196"/>
          <cell r="AT196"/>
          <cell r="AU196"/>
          <cell r="AV196"/>
          <cell r="AW196"/>
          <cell r="AX196"/>
          <cell r="AY196"/>
          <cell r="AZ196"/>
          <cell r="BA196"/>
          <cell r="BB196"/>
          <cell r="BC196"/>
          <cell r="BD196"/>
          <cell r="BE196"/>
          <cell r="BF196"/>
          <cell r="BG196"/>
          <cell r="BH196"/>
          <cell r="BI196"/>
          <cell r="BJ196"/>
          <cell r="BK196"/>
          <cell r="BL196"/>
          <cell r="BM196"/>
          <cell r="BN196"/>
          <cell r="BO196"/>
          <cell r="BP196"/>
          <cell r="BQ196"/>
          <cell r="BR196"/>
          <cell r="BS196"/>
          <cell r="BT196"/>
          <cell r="BU196"/>
          <cell r="BV196"/>
          <cell r="BW196"/>
          <cell r="BX196"/>
          <cell r="BY196"/>
          <cell r="BZ196"/>
          <cell r="CA196"/>
          <cell r="CB196"/>
          <cell r="CC196"/>
          <cell r="CD196"/>
          <cell r="CE196"/>
          <cell r="CF196"/>
          <cell r="CG196"/>
          <cell r="CH196"/>
          <cell r="CI196"/>
          <cell r="CJ196"/>
          <cell r="CK196"/>
          <cell r="CL196"/>
          <cell r="CM196"/>
          <cell r="CN196"/>
          <cell r="CO196"/>
          <cell r="CP196"/>
          <cell r="CQ196"/>
          <cell r="CR196"/>
          <cell r="CS196"/>
          <cell r="CT196"/>
          <cell r="CU196"/>
          <cell r="CV196"/>
          <cell r="CW196"/>
          <cell r="CX196"/>
          <cell r="CY196"/>
          <cell r="CZ196"/>
          <cell r="DA196"/>
          <cell r="DB196"/>
          <cell r="DC196"/>
          <cell r="DD196"/>
          <cell r="DE196"/>
          <cell r="DF196"/>
          <cell r="DG196"/>
          <cell r="DH196"/>
          <cell r="DI196"/>
          <cell r="DJ196"/>
          <cell r="DK196"/>
          <cell r="DL196"/>
          <cell r="DM196"/>
          <cell r="DN196"/>
          <cell r="DO196"/>
          <cell r="DP196"/>
          <cell r="DQ196"/>
          <cell r="DR196"/>
          <cell r="DS196"/>
          <cell r="DT196"/>
          <cell r="DU196"/>
          <cell r="DV196"/>
          <cell r="DW196"/>
          <cell r="DX196"/>
          <cell r="ED196"/>
          <cell r="ES196" t="str">
            <v>789C-2BW1250.00.GR.0 FUEL SYSTEM</v>
          </cell>
          <cell r="ET196" t="str">
            <v>789C-2BW</v>
          </cell>
          <cell r="EV196" t="str">
            <v>1250.00.GR.0 FUEL SYSTEM</v>
          </cell>
          <cell r="EW196">
            <v>486.25</v>
          </cell>
          <cell r="EX196">
            <v>195</v>
          </cell>
        </row>
        <row r="197">
          <cell r="N197"/>
          <cell r="O197"/>
          <cell r="P197"/>
          <cell r="Q197"/>
          <cell r="R197"/>
          <cell r="S197"/>
          <cell r="T197"/>
          <cell r="U197"/>
          <cell r="V197"/>
          <cell r="W197"/>
          <cell r="X197"/>
          <cell r="Y197"/>
          <cell r="Z197"/>
          <cell r="AA197"/>
          <cell r="AB197"/>
          <cell r="AC197"/>
          <cell r="AD197"/>
          <cell r="AE197"/>
          <cell r="AF197"/>
          <cell r="AG197"/>
          <cell r="AH197"/>
          <cell r="AI197"/>
          <cell r="AJ197"/>
          <cell r="AK197"/>
          <cell r="AL197"/>
          <cell r="AM197"/>
          <cell r="AN197"/>
          <cell r="AO197"/>
          <cell r="AP197"/>
          <cell r="AQ197"/>
          <cell r="AR197"/>
          <cell r="AS197"/>
          <cell r="AT197"/>
          <cell r="AU197"/>
          <cell r="AV197"/>
          <cell r="AW197"/>
          <cell r="AX197"/>
          <cell r="AY197"/>
          <cell r="AZ197"/>
          <cell r="BA197"/>
          <cell r="BB197"/>
          <cell r="BC197"/>
          <cell r="BD197"/>
          <cell r="BE197"/>
          <cell r="BF197"/>
          <cell r="BG197"/>
          <cell r="BH197"/>
          <cell r="BI197"/>
          <cell r="BJ197"/>
          <cell r="BK197"/>
          <cell r="BL197"/>
          <cell r="BM197"/>
          <cell r="BN197"/>
          <cell r="BO197"/>
          <cell r="BP197"/>
          <cell r="BQ197"/>
          <cell r="BR197"/>
          <cell r="BS197"/>
          <cell r="BT197"/>
          <cell r="BU197"/>
          <cell r="BV197"/>
          <cell r="BW197"/>
          <cell r="BX197"/>
          <cell r="BY197"/>
          <cell r="BZ197"/>
          <cell r="CA197"/>
          <cell r="CB197"/>
          <cell r="CC197"/>
          <cell r="CD197"/>
          <cell r="CE197"/>
          <cell r="CF197"/>
          <cell r="CG197"/>
          <cell r="CH197"/>
          <cell r="CI197"/>
          <cell r="CJ197"/>
          <cell r="CK197"/>
          <cell r="CL197"/>
          <cell r="CM197"/>
          <cell r="CN197"/>
          <cell r="CO197"/>
          <cell r="CP197"/>
          <cell r="CQ197"/>
          <cell r="CR197"/>
          <cell r="CS197"/>
          <cell r="CT197"/>
          <cell r="CU197"/>
          <cell r="CV197"/>
          <cell r="CW197"/>
          <cell r="CX197"/>
          <cell r="CY197"/>
          <cell r="CZ197"/>
          <cell r="DA197"/>
          <cell r="DB197"/>
          <cell r="DC197"/>
          <cell r="DD197"/>
          <cell r="DE197"/>
          <cell r="DF197"/>
          <cell r="DG197"/>
          <cell r="DH197"/>
          <cell r="DI197"/>
          <cell r="DJ197"/>
          <cell r="DK197"/>
          <cell r="DL197"/>
          <cell r="DM197"/>
          <cell r="DN197"/>
          <cell r="DO197"/>
          <cell r="DP197"/>
          <cell r="DQ197"/>
          <cell r="DR197"/>
          <cell r="DS197"/>
          <cell r="DT197"/>
          <cell r="DU197"/>
          <cell r="DV197"/>
          <cell r="DW197"/>
          <cell r="DX197"/>
          <cell r="ED197"/>
          <cell r="ES197" t="str">
            <v>789C-2BW1256.00.CC.0 FUEL TRANSFER PUMP</v>
          </cell>
          <cell r="ET197" t="str">
            <v>789C-2BW</v>
          </cell>
          <cell r="EV197" t="str">
            <v>1256.00.CC.0 FUEL TRANSFER PUMP</v>
          </cell>
          <cell r="EW197">
            <v>1058.3900000000001</v>
          </cell>
          <cell r="EX197">
            <v>130</v>
          </cell>
        </row>
        <row r="198">
          <cell r="N198"/>
          <cell r="O198"/>
          <cell r="P198"/>
          <cell r="Q198"/>
          <cell r="R198"/>
          <cell r="S198"/>
          <cell r="T198"/>
          <cell r="U198"/>
          <cell r="V198"/>
          <cell r="W198"/>
          <cell r="X198"/>
          <cell r="Y198"/>
          <cell r="Z198"/>
          <cell r="AA198"/>
          <cell r="AB198"/>
          <cell r="AC198"/>
          <cell r="AD198"/>
          <cell r="AE198"/>
          <cell r="AF198"/>
          <cell r="AG198"/>
          <cell r="AH198"/>
          <cell r="AI198"/>
          <cell r="AJ198"/>
          <cell r="AK198"/>
          <cell r="AL198"/>
          <cell r="AM198"/>
          <cell r="AN198"/>
          <cell r="AO198"/>
          <cell r="AP198"/>
          <cell r="AQ198"/>
          <cell r="AR198"/>
          <cell r="AS198"/>
          <cell r="AT198"/>
          <cell r="AU198"/>
          <cell r="AV198"/>
          <cell r="AW198"/>
          <cell r="AX198"/>
          <cell r="AY198"/>
          <cell r="AZ198"/>
          <cell r="BA198"/>
          <cell r="BB198"/>
          <cell r="BC198"/>
          <cell r="BD198"/>
          <cell r="BE198"/>
          <cell r="BF198"/>
          <cell r="BG198"/>
          <cell r="BH198"/>
          <cell r="BI198"/>
          <cell r="BJ198"/>
          <cell r="BK198"/>
          <cell r="BL198"/>
          <cell r="BM198"/>
          <cell r="BN198"/>
          <cell r="BO198"/>
          <cell r="BP198"/>
          <cell r="BQ198"/>
          <cell r="BR198"/>
          <cell r="BS198"/>
          <cell r="BT198"/>
          <cell r="BU198"/>
          <cell r="BV198"/>
          <cell r="BW198"/>
          <cell r="BX198"/>
          <cell r="BY198"/>
          <cell r="BZ198"/>
          <cell r="CA198"/>
          <cell r="CB198"/>
          <cell r="CC198"/>
          <cell r="CD198"/>
          <cell r="CE198"/>
          <cell r="CF198"/>
          <cell r="CG198"/>
          <cell r="CH198"/>
          <cell r="CI198"/>
          <cell r="CJ198"/>
          <cell r="CK198"/>
          <cell r="CL198"/>
          <cell r="CM198"/>
          <cell r="CN198"/>
          <cell r="CO198"/>
          <cell r="CP198"/>
          <cell r="CQ198"/>
          <cell r="CR198"/>
          <cell r="CS198"/>
          <cell r="CT198"/>
          <cell r="CU198"/>
          <cell r="CV198"/>
          <cell r="CW198"/>
          <cell r="CX198"/>
          <cell r="CY198"/>
          <cell r="CZ198"/>
          <cell r="DA198"/>
          <cell r="DB198"/>
          <cell r="DC198"/>
          <cell r="DD198"/>
          <cell r="DE198"/>
          <cell r="DF198"/>
          <cell r="DG198"/>
          <cell r="DH198"/>
          <cell r="DI198"/>
          <cell r="DJ198"/>
          <cell r="DK198"/>
          <cell r="DL198"/>
          <cell r="DM198"/>
          <cell r="DN198"/>
          <cell r="DO198"/>
          <cell r="DP198"/>
          <cell r="DQ198"/>
          <cell r="DR198"/>
          <cell r="DS198"/>
          <cell r="DT198"/>
          <cell r="DU198"/>
          <cell r="DV198"/>
          <cell r="DW198"/>
          <cell r="DX198"/>
          <cell r="ED198"/>
          <cell r="ES198" t="str">
            <v>789C-2BW1273.00.CC.0 FUEL TANK</v>
          </cell>
          <cell r="ET198" t="str">
            <v>789C-2BW</v>
          </cell>
          <cell r="EV198" t="str">
            <v>1273.00.CC.0 FUEL TANK</v>
          </cell>
          <cell r="EW198">
            <v>1387.5</v>
          </cell>
          <cell r="EX198">
            <v>195</v>
          </cell>
        </row>
        <row r="199">
          <cell r="N199"/>
          <cell r="O199"/>
          <cell r="P199"/>
          <cell r="Q199"/>
          <cell r="R199"/>
          <cell r="S199"/>
          <cell r="T199"/>
          <cell r="U199"/>
          <cell r="V199"/>
          <cell r="W199"/>
          <cell r="X199"/>
          <cell r="Y199"/>
          <cell r="Z199"/>
          <cell r="AA199"/>
          <cell r="AB199"/>
          <cell r="AC199"/>
          <cell r="AD199"/>
          <cell r="AE199"/>
          <cell r="AF199"/>
          <cell r="AG199"/>
          <cell r="AH199"/>
          <cell r="AI199"/>
          <cell r="AJ199"/>
          <cell r="AK199"/>
          <cell r="AL199"/>
          <cell r="AM199"/>
          <cell r="AN199"/>
          <cell r="AO199"/>
          <cell r="AP199"/>
          <cell r="AQ199"/>
          <cell r="AR199"/>
          <cell r="AS199"/>
          <cell r="AT199"/>
          <cell r="AU199"/>
          <cell r="AV199"/>
          <cell r="AW199"/>
          <cell r="AX199"/>
          <cell r="AY199"/>
          <cell r="AZ199"/>
          <cell r="BA199"/>
          <cell r="BB199"/>
          <cell r="BC199"/>
          <cell r="BD199"/>
          <cell r="BE199"/>
          <cell r="BF199"/>
          <cell r="BG199"/>
          <cell r="BH199"/>
          <cell r="BI199"/>
          <cell r="BJ199"/>
          <cell r="BK199"/>
          <cell r="BL199"/>
          <cell r="BM199"/>
          <cell r="BN199"/>
          <cell r="BO199"/>
          <cell r="BP199"/>
          <cell r="BQ199"/>
          <cell r="BR199"/>
          <cell r="BS199"/>
          <cell r="BT199"/>
          <cell r="BU199"/>
          <cell r="BV199"/>
          <cell r="BW199"/>
          <cell r="BX199"/>
          <cell r="BY199"/>
          <cell r="BZ199"/>
          <cell r="CA199"/>
          <cell r="CB199"/>
          <cell r="CC199"/>
          <cell r="CD199"/>
          <cell r="CE199"/>
          <cell r="CF199"/>
          <cell r="CG199"/>
          <cell r="CH199"/>
          <cell r="CI199"/>
          <cell r="CJ199"/>
          <cell r="CK199"/>
          <cell r="CL199"/>
          <cell r="CM199"/>
          <cell r="CN199"/>
          <cell r="CO199"/>
          <cell r="CP199"/>
          <cell r="CQ199"/>
          <cell r="CR199"/>
          <cell r="CS199"/>
          <cell r="CT199"/>
          <cell r="CU199"/>
          <cell r="CV199"/>
          <cell r="CW199"/>
          <cell r="CX199"/>
          <cell r="CY199"/>
          <cell r="CZ199"/>
          <cell r="DA199"/>
          <cell r="DB199"/>
          <cell r="DC199"/>
          <cell r="DD199"/>
          <cell r="DE199"/>
          <cell r="DF199"/>
          <cell r="DG199"/>
          <cell r="DH199"/>
          <cell r="DI199"/>
          <cell r="DJ199"/>
          <cell r="DK199"/>
          <cell r="DL199"/>
          <cell r="DM199"/>
          <cell r="DN199"/>
          <cell r="DO199"/>
          <cell r="DP199"/>
          <cell r="DQ199"/>
          <cell r="DR199"/>
          <cell r="DS199"/>
          <cell r="DT199"/>
          <cell r="DU199"/>
          <cell r="DV199"/>
          <cell r="DW199"/>
          <cell r="DX199"/>
          <cell r="ED199"/>
          <cell r="ES199" t="str">
            <v>789C-2BW1290.00.CC.0 UNIT INJECTOR</v>
          </cell>
          <cell r="ET199" t="str">
            <v>789C-2BW</v>
          </cell>
          <cell r="EV199" t="str">
            <v>1290.00.CC.0 UNIT INJECTOR</v>
          </cell>
          <cell r="EW199">
            <v>9522.16</v>
          </cell>
          <cell r="EX199">
            <v>1300</v>
          </cell>
        </row>
        <row r="200">
          <cell r="N200"/>
          <cell r="O200"/>
          <cell r="P200"/>
          <cell r="Q200"/>
          <cell r="R200"/>
          <cell r="S200"/>
          <cell r="T200"/>
          <cell r="U200"/>
          <cell r="V200"/>
          <cell r="W200"/>
          <cell r="X200"/>
          <cell r="Y200"/>
          <cell r="Z200"/>
          <cell r="AA200"/>
          <cell r="AB200"/>
          <cell r="AC200"/>
          <cell r="AD200"/>
          <cell r="AE200"/>
          <cell r="AF200"/>
          <cell r="AG200"/>
          <cell r="AH200"/>
          <cell r="AI200"/>
          <cell r="AJ200"/>
          <cell r="AK200"/>
          <cell r="AL200"/>
          <cell r="AM200"/>
          <cell r="AN200"/>
          <cell r="AO200"/>
          <cell r="AP200"/>
          <cell r="AQ200"/>
          <cell r="AR200"/>
          <cell r="AS200"/>
          <cell r="AT200"/>
          <cell r="AU200"/>
          <cell r="AV200"/>
          <cell r="AW200"/>
          <cell r="AX200"/>
          <cell r="AY200"/>
          <cell r="AZ200"/>
          <cell r="BA200"/>
          <cell r="BB200"/>
          <cell r="BC200"/>
          <cell r="BD200"/>
          <cell r="BE200"/>
          <cell r="BF200"/>
          <cell r="BG200"/>
          <cell r="BH200"/>
          <cell r="BI200"/>
          <cell r="BJ200"/>
          <cell r="BK200"/>
          <cell r="BL200"/>
          <cell r="BM200"/>
          <cell r="BN200"/>
          <cell r="BO200"/>
          <cell r="BP200"/>
          <cell r="BQ200"/>
          <cell r="BR200"/>
          <cell r="BS200"/>
          <cell r="BT200"/>
          <cell r="BU200"/>
          <cell r="BV200"/>
          <cell r="BW200"/>
          <cell r="BX200"/>
          <cell r="BY200"/>
          <cell r="BZ200"/>
          <cell r="CA200"/>
          <cell r="CB200"/>
          <cell r="CC200"/>
          <cell r="CD200"/>
          <cell r="CE200"/>
          <cell r="CF200"/>
          <cell r="CG200"/>
          <cell r="CH200"/>
          <cell r="CI200"/>
          <cell r="CJ200"/>
          <cell r="CK200"/>
          <cell r="CL200"/>
          <cell r="CM200"/>
          <cell r="CN200"/>
          <cell r="CO200"/>
          <cell r="CP200"/>
          <cell r="CQ200"/>
          <cell r="CR200"/>
          <cell r="CS200"/>
          <cell r="CT200"/>
          <cell r="CU200"/>
          <cell r="CV200"/>
          <cell r="CW200"/>
          <cell r="CX200"/>
          <cell r="CY200"/>
          <cell r="CZ200"/>
          <cell r="DA200"/>
          <cell r="DB200"/>
          <cell r="DC200"/>
          <cell r="DD200"/>
          <cell r="DE200"/>
          <cell r="DF200"/>
          <cell r="DG200"/>
          <cell r="DH200"/>
          <cell r="DI200"/>
          <cell r="DJ200"/>
          <cell r="DK200"/>
          <cell r="DL200"/>
          <cell r="DM200"/>
          <cell r="DN200"/>
          <cell r="DO200"/>
          <cell r="DP200"/>
          <cell r="DQ200"/>
          <cell r="DR200"/>
          <cell r="DS200"/>
          <cell r="DT200"/>
          <cell r="DU200"/>
          <cell r="DV200"/>
          <cell r="DW200"/>
          <cell r="DX200"/>
          <cell r="ED200"/>
          <cell r="ES200" t="str">
            <v>789C-2BW1353.00.CC.0 RADIATOR</v>
          </cell>
          <cell r="ET200" t="str">
            <v>789C-2BW</v>
          </cell>
          <cell r="EV200" t="str">
            <v>1353.00.CC.0 RADIATOR</v>
          </cell>
          <cell r="EW200">
            <v>13141.913500000001</v>
          </cell>
          <cell r="EX200">
            <v>3087.5</v>
          </cell>
        </row>
        <row r="201">
          <cell r="O201"/>
          <cell r="P201"/>
          <cell r="Q201"/>
          <cell r="R201"/>
          <cell r="S201"/>
          <cell r="T201"/>
          <cell r="U201"/>
          <cell r="V201"/>
          <cell r="W201"/>
          <cell r="X201"/>
          <cell r="Y201"/>
          <cell r="Z201"/>
          <cell r="AA201"/>
          <cell r="AB201"/>
          <cell r="AC201"/>
          <cell r="AD201"/>
          <cell r="AE201"/>
          <cell r="AF201"/>
          <cell r="AG201"/>
          <cell r="AH201"/>
          <cell r="AI201"/>
          <cell r="AJ201"/>
          <cell r="AK201"/>
          <cell r="AL201"/>
          <cell r="AM201"/>
          <cell r="AN201"/>
          <cell r="AO201"/>
          <cell r="AP201"/>
          <cell r="AQ201"/>
          <cell r="AR201"/>
          <cell r="AS201"/>
          <cell r="AT201"/>
          <cell r="AU201"/>
          <cell r="AV201"/>
          <cell r="AW201"/>
          <cell r="AX201"/>
          <cell r="AY201"/>
          <cell r="AZ201"/>
          <cell r="BA201"/>
          <cell r="BB201"/>
          <cell r="BC201"/>
          <cell r="BD201"/>
          <cell r="BE201"/>
          <cell r="BF201"/>
          <cell r="BG201"/>
          <cell r="BH201"/>
          <cell r="BI201"/>
          <cell r="BJ201"/>
          <cell r="BK201"/>
          <cell r="BL201"/>
          <cell r="BM201"/>
          <cell r="BN201"/>
          <cell r="BO201"/>
          <cell r="BP201"/>
          <cell r="BQ201"/>
          <cell r="BR201"/>
          <cell r="BS201"/>
          <cell r="BT201"/>
          <cell r="BU201"/>
          <cell r="BV201"/>
          <cell r="BW201"/>
          <cell r="BX201"/>
          <cell r="BY201"/>
          <cell r="BZ201"/>
          <cell r="CA201"/>
          <cell r="CB201"/>
          <cell r="CC201"/>
          <cell r="CD201"/>
          <cell r="CE201"/>
          <cell r="CF201"/>
          <cell r="CG201"/>
          <cell r="CH201"/>
          <cell r="CI201"/>
          <cell r="CJ201"/>
          <cell r="CK201"/>
          <cell r="CL201"/>
          <cell r="CM201"/>
          <cell r="CN201"/>
          <cell r="CO201"/>
          <cell r="CP201"/>
          <cell r="CQ201"/>
          <cell r="CR201"/>
          <cell r="CS201"/>
          <cell r="CT201"/>
          <cell r="CU201"/>
          <cell r="CV201"/>
          <cell r="CW201"/>
          <cell r="CX201"/>
          <cell r="CY201"/>
          <cell r="CZ201"/>
          <cell r="DA201"/>
          <cell r="DB201"/>
          <cell r="DC201"/>
          <cell r="DD201"/>
          <cell r="DE201"/>
          <cell r="DF201"/>
          <cell r="DG201"/>
          <cell r="DH201"/>
          <cell r="DI201"/>
          <cell r="DJ201"/>
          <cell r="DK201"/>
          <cell r="DL201"/>
          <cell r="DM201"/>
          <cell r="DN201"/>
          <cell r="DO201"/>
          <cell r="DP201"/>
          <cell r="DQ201"/>
          <cell r="DR201"/>
          <cell r="DS201"/>
          <cell r="DT201"/>
          <cell r="DU201"/>
          <cell r="DV201"/>
          <cell r="DW201"/>
          <cell r="DX201"/>
          <cell r="ED201"/>
          <cell r="ES201" t="str">
            <v>789C-2BW1355.00.CC.0 THERMOSTAT/WATER TEMPERATURE REGULATOR</v>
          </cell>
          <cell r="ET201" t="str">
            <v>789C-2BW</v>
          </cell>
          <cell r="EV201" t="str">
            <v>1355.00.CC.0 THERMOSTAT/WATER TEMPERATURE REGULATOR</v>
          </cell>
          <cell r="EW201">
            <v>322.64</v>
          </cell>
          <cell r="EX201">
            <v>520</v>
          </cell>
        </row>
        <row r="202">
          <cell r="O202"/>
          <cell r="P202"/>
          <cell r="Q202"/>
          <cell r="R202"/>
          <cell r="S202"/>
          <cell r="T202"/>
          <cell r="U202"/>
          <cell r="V202"/>
          <cell r="W202"/>
          <cell r="X202"/>
          <cell r="Y202"/>
          <cell r="Z202"/>
          <cell r="AA202"/>
          <cell r="AB202"/>
          <cell r="AC202"/>
          <cell r="AD202"/>
          <cell r="AE202"/>
          <cell r="AF202"/>
          <cell r="AG202"/>
          <cell r="AH202"/>
          <cell r="AI202"/>
          <cell r="AJ202"/>
          <cell r="AK202"/>
          <cell r="AL202"/>
          <cell r="AM202"/>
          <cell r="AN202"/>
          <cell r="AO202"/>
          <cell r="AP202"/>
          <cell r="AQ202"/>
          <cell r="AR202"/>
          <cell r="AS202"/>
          <cell r="AT202"/>
          <cell r="AU202"/>
          <cell r="AV202"/>
          <cell r="AW202"/>
          <cell r="AX202"/>
          <cell r="AY202"/>
          <cell r="AZ202"/>
          <cell r="BA202"/>
          <cell r="BB202"/>
          <cell r="BC202"/>
          <cell r="BD202"/>
          <cell r="BE202"/>
          <cell r="BF202"/>
          <cell r="BG202"/>
          <cell r="BH202"/>
          <cell r="BI202"/>
          <cell r="BJ202"/>
          <cell r="BK202"/>
          <cell r="BL202"/>
          <cell r="BM202"/>
          <cell r="BN202"/>
          <cell r="BO202"/>
          <cell r="BP202"/>
          <cell r="BQ202"/>
          <cell r="BR202"/>
          <cell r="BS202"/>
          <cell r="BT202"/>
          <cell r="BU202"/>
          <cell r="BV202"/>
          <cell r="BW202"/>
          <cell r="BX202"/>
          <cell r="BY202"/>
          <cell r="BZ202"/>
          <cell r="CA202"/>
          <cell r="CB202"/>
          <cell r="CC202"/>
          <cell r="CD202"/>
          <cell r="CE202"/>
          <cell r="CF202"/>
          <cell r="CG202"/>
          <cell r="CH202"/>
          <cell r="CI202"/>
          <cell r="CJ202"/>
          <cell r="CK202"/>
          <cell r="CL202"/>
          <cell r="CM202"/>
          <cell r="CN202"/>
          <cell r="CO202"/>
          <cell r="CP202"/>
          <cell r="CQ202"/>
          <cell r="CR202"/>
          <cell r="CS202"/>
          <cell r="CT202"/>
          <cell r="CU202"/>
          <cell r="CV202"/>
          <cell r="CW202"/>
          <cell r="CX202"/>
          <cell r="CY202"/>
          <cell r="CZ202"/>
          <cell r="DA202"/>
          <cell r="DB202"/>
          <cell r="DC202"/>
          <cell r="DD202"/>
          <cell r="DE202"/>
          <cell r="DF202"/>
          <cell r="DG202"/>
          <cell r="DH202"/>
          <cell r="DI202"/>
          <cell r="DJ202"/>
          <cell r="DK202"/>
          <cell r="DL202"/>
          <cell r="DM202"/>
          <cell r="DN202"/>
          <cell r="DO202"/>
          <cell r="DP202"/>
          <cell r="DQ202"/>
          <cell r="DR202"/>
          <cell r="DS202"/>
          <cell r="DT202"/>
          <cell r="DU202"/>
          <cell r="DV202"/>
          <cell r="DW202"/>
          <cell r="DX202"/>
          <cell r="ED202"/>
          <cell r="ES202" t="str">
            <v>789C-2BW1356.00.CC.0 FAN</v>
          </cell>
          <cell r="ET202" t="str">
            <v>789C-2BW</v>
          </cell>
          <cell r="EV202" t="str">
            <v>1356.00.CC.0 FAN</v>
          </cell>
          <cell r="EW202">
            <v>1697.845</v>
          </cell>
          <cell r="EX202">
            <v>32.5</v>
          </cell>
        </row>
        <row r="203">
          <cell r="O203"/>
          <cell r="P203"/>
          <cell r="Q203"/>
          <cell r="R203"/>
          <cell r="S203"/>
          <cell r="T203"/>
          <cell r="U203"/>
          <cell r="V203"/>
          <cell r="W203"/>
          <cell r="X203"/>
          <cell r="Y203"/>
          <cell r="Z203"/>
          <cell r="AA203"/>
          <cell r="AB203"/>
          <cell r="AC203"/>
          <cell r="AD203"/>
          <cell r="AE203"/>
          <cell r="AF203"/>
          <cell r="AG203"/>
          <cell r="AH203"/>
          <cell r="AI203"/>
          <cell r="AJ203"/>
          <cell r="AK203"/>
          <cell r="AL203"/>
          <cell r="AM203"/>
          <cell r="AN203"/>
          <cell r="AO203"/>
          <cell r="AP203"/>
          <cell r="AQ203"/>
          <cell r="AR203"/>
          <cell r="AS203"/>
          <cell r="AT203"/>
          <cell r="AU203"/>
          <cell r="AV203"/>
          <cell r="AW203"/>
          <cell r="AX203"/>
          <cell r="AY203"/>
          <cell r="AZ203"/>
          <cell r="BA203"/>
          <cell r="BB203"/>
          <cell r="BC203"/>
          <cell r="BD203"/>
          <cell r="BE203"/>
          <cell r="BF203"/>
          <cell r="BG203"/>
          <cell r="BH203"/>
          <cell r="BI203"/>
          <cell r="BJ203"/>
          <cell r="BK203"/>
          <cell r="BL203"/>
          <cell r="BM203"/>
          <cell r="BN203"/>
          <cell r="BO203"/>
          <cell r="BP203"/>
          <cell r="BQ203"/>
          <cell r="BR203"/>
          <cell r="BS203"/>
          <cell r="BT203"/>
          <cell r="BU203"/>
          <cell r="BV203"/>
          <cell r="BW203"/>
          <cell r="BX203"/>
          <cell r="BY203"/>
          <cell r="BZ203"/>
          <cell r="CA203"/>
          <cell r="CB203"/>
          <cell r="CC203"/>
          <cell r="CD203"/>
          <cell r="CE203"/>
          <cell r="CF203"/>
          <cell r="CG203"/>
          <cell r="CH203"/>
          <cell r="CI203"/>
          <cell r="CJ203"/>
          <cell r="CK203"/>
          <cell r="CL203"/>
          <cell r="CM203"/>
          <cell r="CN203"/>
          <cell r="CO203"/>
          <cell r="CP203"/>
          <cell r="CQ203"/>
          <cell r="CR203"/>
          <cell r="CS203"/>
          <cell r="CT203"/>
          <cell r="CU203"/>
          <cell r="CV203"/>
          <cell r="CW203"/>
          <cell r="CX203"/>
          <cell r="CY203"/>
          <cell r="CZ203"/>
          <cell r="DA203"/>
          <cell r="DB203"/>
          <cell r="DC203"/>
          <cell r="DD203"/>
          <cell r="DE203"/>
          <cell r="DF203"/>
          <cell r="DG203"/>
          <cell r="DH203"/>
          <cell r="DI203"/>
          <cell r="DJ203"/>
          <cell r="DK203"/>
          <cell r="DL203"/>
          <cell r="DM203"/>
          <cell r="DN203"/>
          <cell r="DO203"/>
          <cell r="DP203"/>
          <cell r="DQ203"/>
          <cell r="DR203"/>
          <cell r="DS203"/>
          <cell r="DT203"/>
          <cell r="DU203"/>
          <cell r="DV203"/>
          <cell r="DW203"/>
          <cell r="DX203"/>
          <cell r="ED203"/>
          <cell r="ES203" t="str">
            <v>789C-2BW1356.00.RI.0 FAN</v>
          </cell>
          <cell r="ET203" t="str">
            <v>789C-2BW</v>
          </cell>
          <cell r="EV203" t="str">
            <v>1356.00.RI.0 FAN</v>
          </cell>
          <cell r="EW203">
            <v>0</v>
          </cell>
          <cell r="EX203">
            <v>65</v>
          </cell>
        </row>
        <row r="204">
          <cell r="O204"/>
          <cell r="P204"/>
          <cell r="Q204"/>
          <cell r="R204"/>
          <cell r="S204"/>
          <cell r="T204"/>
          <cell r="U204"/>
          <cell r="V204"/>
          <cell r="W204"/>
          <cell r="X204"/>
          <cell r="Y204"/>
          <cell r="Z204"/>
          <cell r="AA204"/>
          <cell r="AB204"/>
          <cell r="AC204"/>
          <cell r="AD204"/>
          <cell r="AE204"/>
          <cell r="AF204"/>
          <cell r="AG204"/>
          <cell r="AH204"/>
          <cell r="AI204"/>
          <cell r="AJ204"/>
          <cell r="AK204"/>
          <cell r="AL204"/>
          <cell r="AM204"/>
          <cell r="AN204"/>
          <cell r="AO204"/>
          <cell r="AP204"/>
          <cell r="AQ204"/>
          <cell r="AR204"/>
          <cell r="AS204"/>
          <cell r="AT204"/>
          <cell r="AU204"/>
          <cell r="AV204"/>
          <cell r="AW204"/>
          <cell r="AX204"/>
          <cell r="AY204"/>
          <cell r="AZ204"/>
          <cell r="BA204"/>
          <cell r="BB204"/>
          <cell r="BC204"/>
          <cell r="BD204"/>
          <cell r="BE204"/>
          <cell r="BF204"/>
          <cell r="BG204"/>
          <cell r="BH204"/>
          <cell r="BI204"/>
          <cell r="BJ204"/>
          <cell r="BK204"/>
          <cell r="BL204"/>
          <cell r="BM204"/>
          <cell r="BN204"/>
          <cell r="BO204"/>
          <cell r="BP204"/>
          <cell r="BQ204"/>
          <cell r="BR204"/>
          <cell r="BS204"/>
          <cell r="BT204"/>
          <cell r="BU204"/>
          <cell r="BV204"/>
          <cell r="BW204"/>
          <cell r="BX204"/>
          <cell r="BY204"/>
          <cell r="BZ204"/>
          <cell r="CA204"/>
          <cell r="CB204"/>
          <cell r="CC204"/>
          <cell r="CD204"/>
          <cell r="CE204"/>
          <cell r="CF204"/>
          <cell r="CG204"/>
          <cell r="CH204"/>
          <cell r="CI204"/>
          <cell r="CJ204"/>
          <cell r="CK204"/>
          <cell r="CL204"/>
          <cell r="CM204"/>
          <cell r="CN204"/>
          <cell r="CO204"/>
          <cell r="CP204"/>
          <cell r="CQ204"/>
          <cell r="CR204"/>
          <cell r="CS204"/>
          <cell r="CT204"/>
          <cell r="CU204"/>
          <cell r="CV204"/>
          <cell r="CW204"/>
          <cell r="CX204"/>
          <cell r="CY204"/>
          <cell r="CZ204"/>
          <cell r="DA204"/>
          <cell r="DB204"/>
          <cell r="DC204"/>
          <cell r="DD204"/>
          <cell r="DE204"/>
          <cell r="DF204"/>
          <cell r="DG204"/>
          <cell r="DH204"/>
          <cell r="DI204"/>
          <cell r="DJ204"/>
          <cell r="DK204"/>
          <cell r="DL204"/>
          <cell r="DM204"/>
          <cell r="DN204"/>
          <cell r="DO204"/>
          <cell r="DP204"/>
          <cell r="DQ204"/>
          <cell r="DR204"/>
          <cell r="DS204"/>
          <cell r="DT204"/>
          <cell r="DU204"/>
          <cell r="DV204"/>
          <cell r="DW204"/>
          <cell r="DX204"/>
          <cell r="ED204"/>
          <cell r="ES204" t="str">
            <v>789C-2BW1357.00.CC.0 V-BELT(S)</v>
          </cell>
          <cell r="ET204" t="str">
            <v>789C-2BW</v>
          </cell>
          <cell r="EV204" t="str">
            <v>1357.00.CC.0 V-BELT(S)</v>
          </cell>
          <cell r="EW204">
            <v>553.39</v>
          </cell>
          <cell r="EX204">
            <v>195</v>
          </cell>
        </row>
        <row r="205">
          <cell r="O205"/>
          <cell r="P205"/>
          <cell r="Q205"/>
          <cell r="R205"/>
          <cell r="S205"/>
          <cell r="T205"/>
          <cell r="U205"/>
          <cell r="V205"/>
          <cell r="W205"/>
          <cell r="X205"/>
          <cell r="Y205"/>
          <cell r="Z205"/>
          <cell r="AA205"/>
          <cell r="AB205"/>
          <cell r="AC205"/>
          <cell r="AD205"/>
          <cell r="AE205"/>
          <cell r="AF205"/>
          <cell r="AG205"/>
          <cell r="AH205"/>
          <cell r="AI205"/>
          <cell r="AJ205"/>
          <cell r="AK205"/>
          <cell r="AL205"/>
          <cell r="AM205"/>
          <cell r="AN205"/>
          <cell r="AO205"/>
          <cell r="AP205"/>
          <cell r="AQ205"/>
          <cell r="AR205"/>
          <cell r="AS205"/>
          <cell r="AT205"/>
          <cell r="AU205"/>
          <cell r="AV205"/>
          <cell r="AW205"/>
          <cell r="AX205"/>
          <cell r="AY205"/>
          <cell r="AZ205"/>
          <cell r="BA205"/>
          <cell r="BB205"/>
          <cell r="BC205"/>
          <cell r="BD205"/>
          <cell r="BE205"/>
          <cell r="BF205"/>
          <cell r="BG205"/>
          <cell r="BH205"/>
          <cell r="BI205"/>
          <cell r="BJ205"/>
          <cell r="BK205"/>
          <cell r="BL205"/>
          <cell r="BM205"/>
          <cell r="BN205"/>
          <cell r="BO205"/>
          <cell r="BP205"/>
          <cell r="BQ205"/>
          <cell r="BR205"/>
          <cell r="BS205"/>
          <cell r="BT205"/>
          <cell r="BU205"/>
          <cell r="BV205"/>
          <cell r="BW205"/>
          <cell r="BX205"/>
          <cell r="BY205"/>
          <cell r="BZ205"/>
          <cell r="CA205"/>
          <cell r="CB205"/>
          <cell r="CC205"/>
          <cell r="CD205"/>
          <cell r="CE205"/>
          <cell r="CF205"/>
          <cell r="CG205"/>
          <cell r="CH205"/>
          <cell r="CI205"/>
          <cell r="CJ205"/>
          <cell r="CK205"/>
          <cell r="CL205"/>
          <cell r="CM205"/>
          <cell r="CN205"/>
          <cell r="CO205"/>
          <cell r="CP205"/>
          <cell r="CQ205"/>
          <cell r="CR205"/>
          <cell r="CS205"/>
          <cell r="CT205"/>
          <cell r="CU205"/>
          <cell r="CV205"/>
          <cell r="CW205"/>
          <cell r="CX205"/>
          <cell r="CY205"/>
          <cell r="CZ205"/>
          <cell r="DA205"/>
          <cell r="DB205"/>
          <cell r="DC205"/>
          <cell r="DD205"/>
          <cell r="DE205"/>
          <cell r="DF205"/>
          <cell r="DG205"/>
          <cell r="DH205"/>
          <cell r="DI205"/>
          <cell r="DJ205"/>
          <cell r="DK205"/>
          <cell r="DL205"/>
          <cell r="DM205"/>
          <cell r="DN205"/>
          <cell r="DO205"/>
          <cell r="DP205"/>
          <cell r="DQ205"/>
          <cell r="DR205"/>
          <cell r="DS205"/>
          <cell r="DT205"/>
          <cell r="DU205"/>
          <cell r="DV205"/>
          <cell r="DW205"/>
          <cell r="DX205"/>
          <cell r="ED205"/>
          <cell r="ES205" t="str">
            <v>789C-2BW1358.00.CC.0 BELT TIGHTENER</v>
          </cell>
          <cell r="ET205" t="str">
            <v>789C-2BW</v>
          </cell>
          <cell r="EV205" t="str">
            <v>1358.00.CC.0 BELT TIGHTENER</v>
          </cell>
          <cell r="EW205">
            <v>836.28049999999996</v>
          </cell>
          <cell r="EX205">
            <v>0</v>
          </cell>
        </row>
        <row r="206">
          <cell r="O206"/>
          <cell r="P206"/>
          <cell r="Q206"/>
          <cell r="R206"/>
          <cell r="S206"/>
          <cell r="T206"/>
          <cell r="U206"/>
          <cell r="V206"/>
          <cell r="W206"/>
          <cell r="X206"/>
          <cell r="Y206"/>
          <cell r="Z206"/>
          <cell r="AA206"/>
          <cell r="AB206"/>
          <cell r="AC206"/>
          <cell r="AD206"/>
          <cell r="AE206"/>
          <cell r="AF206"/>
          <cell r="AG206"/>
          <cell r="AH206"/>
          <cell r="AI206"/>
          <cell r="AJ206"/>
          <cell r="AK206"/>
          <cell r="AL206"/>
          <cell r="AM206"/>
          <cell r="AN206"/>
          <cell r="AO206"/>
          <cell r="AP206"/>
          <cell r="AQ206"/>
          <cell r="AR206"/>
          <cell r="AS206"/>
          <cell r="AT206"/>
          <cell r="AU206"/>
          <cell r="AV206"/>
          <cell r="AW206"/>
          <cell r="AX206"/>
          <cell r="AY206"/>
          <cell r="AZ206"/>
          <cell r="BA206"/>
          <cell r="BB206"/>
          <cell r="BC206"/>
          <cell r="BD206"/>
          <cell r="BE206"/>
          <cell r="BF206"/>
          <cell r="BG206"/>
          <cell r="BH206"/>
          <cell r="BI206"/>
          <cell r="BJ206"/>
          <cell r="BK206"/>
          <cell r="BL206"/>
          <cell r="BM206"/>
          <cell r="BN206"/>
          <cell r="BO206"/>
          <cell r="BP206"/>
          <cell r="BQ206"/>
          <cell r="BR206"/>
          <cell r="BS206"/>
          <cell r="BT206"/>
          <cell r="BU206"/>
          <cell r="BV206"/>
          <cell r="BW206"/>
          <cell r="BX206"/>
          <cell r="BY206"/>
          <cell r="BZ206"/>
          <cell r="CA206"/>
          <cell r="CB206"/>
          <cell r="CC206"/>
          <cell r="CD206"/>
          <cell r="CE206"/>
          <cell r="CF206"/>
          <cell r="CG206"/>
          <cell r="CH206"/>
          <cell r="CI206"/>
          <cell r="CJ206"/>
          <cell r="CK206"/>
          <cell r="CL206"/>
          <cell r="CM206"/>
          <cell r="CN206"/>
          <cell r="CO206"/>
          <cell r="CP206"/>
          <cell r="CQ206"/>
          <cell r="CR206"/>
          <cell r="CS206"/>
          <cell r="CT206"/>
          <cell r="CU206"/>
          <cell r="CV206"/>
          <cell r="CW206"/>
          <cell r="CX206"/>
          <cell r="CY206"/>
          <cell r="CZ206"/>
          <cell r="DA206"/>
          <cell r="DB206"/>
          <cell r="DC206"/>
          <cell r="DD206"/>
          <cell r="DE206"/>
          <cell r="DF206"/>
          <cell r="DG206"/>
          <cell r="DH206"/>
          <cell r="DI206"/>
          <cell r="DJ206"/>
          <cell r="DK206"/>
          <cell r="DL206"/>
          <cell r="DM206"/>
          <cell r="DN206"/>
          <cell r="DO206"/>
          <cell r="DP206"/>
          <cell r="DQ206"/>
          <cell r="DR206"/>
          <cell r="DS206"/>
          <cell r="DT206"/>
          <cell r="DU206"/>
          <cell r="DV206"/>
          <cell r="DW206"/>
          <cell r="DX206"/>
          <cell r="ES206" t="str">
            <v>789C-2BW1359.00.CC.0 FAN DRIVE</v>
          </cell>
          <cell r="ET206" t="str">
            <v>789C-2BW</v>
          </cell>
          <cell r="EV206" t="str">
            <v>1359.00.CC.0 FAN DRIVE</v>
          </cell>
          <cell r="EW206">
            <v>2144.3225000000002</v>
          </cell>
          <cell r="EX206">
            <v>390</v>
          </cell>
        </row>
        <row r="207">
          <cell r="O207"/>
          <cell r="P207"/>
          <cell r="Q207"/>
          <cell r="R207"/>
          <cell r="S207"/>
          <cell r="T207"/>
          <cell r="U207"/>
          <cell r="V207"/>
          <cell r="W207"/>
          <cell r="X207"/>
          <cell r="Y207"/>
          <cell r="Z207"/>
          <cell r="AA207"/>
          <cell r="AB207"/>
          <cell r="AC207"/>
          <cell r="AD207"/>
          <cell r="AE207"/>
          <cell r="AF207"/>
          <cell r="AG207"/>
          <cell r="AH207"/>
          <cell r="AI207"/>
          <cell r="AJ207"/>
          <cell r="AK207"/>
          <cell r="AL207"/>
          <cell r="AM207"/>
          <cell r="AN207"/>
          <cell r="AO207"/>
          <cell r="AP207"/>
          <cell r="AQ207"/>
          <cell r="AR207"/>
          <cell r="AS207"/>
          <cell r="AT207"/>
          <cell r="AU207"/>
          <cell r="AV207"/>
          <cell r="AW207"/>
          <cell r="AX207"/>
          <cell r="AY207"/>
          <cell r="AZ207"/>
          <cell r="BA207"/>
          <cell r="BB207"/>
          <cell r="BC207"/>
          <cell r="BD207"/>
          <cell r="BE207"/>
          <cell r="BF207"/>
          <cell r="BG207"/>
          <cell r="BH207"/>
          <cell r="BI207"/>
          <cell r="BJ207"/>
          <cell r="BK207"/>
          <cell r="BL207"/>
          <cell r="BM207"/>
          <cell r="BN207"/>
          <cell r="BO207"/>
          <cell r="BP207"/>
          <cell r="BQ207"/>
          <cell r="BR207"/>
          <cell r="BS207"/>
          <cell r="BT207"/>
          <cell r="BU207"/>
          <cell r="BV207"/>
          <cell r="BW207"/>
          <cell r="BX207"/>
          <cell r="BY207"/>
          <cell r="BZ207"/>
          <cell r="CA207"/>
          <cell r="CB207"/>
          <cell r="CC207"/>
          <cell r="CD207"/>
          <cell r="CE207"/>
          <cell r="CF207"/>
          <cell r="CG207"/>
          <cell r="CH207"/>
          <cell r="CI207"/>
          <cell r="CJ207"/>
          <cell r="CK207"/>
          <cell r="CL207"/>
          <cell r="CM207"/>
          <cell r="CN207"/>
          <cell r="CO207"/>
          <cell r="CP207"/>
          <cell r="CQ207"/>
          <cell r="CR207"/>
          <cell r="CS207"/>
          <cell r="CT207"/>
          <cell r="CU207"/>
          <cell r="CV207"/>
          <cell r="CW207"/>
          <cell r="CX207"/>
          <cell r="CY207"/>
          <cell r="CZ207"/>
          <cell r="DA207"/>
          <cell r="DB207"/>
          <cell r="DC207"/>
          <cell r="DD207"/>
          <cell r="DE207"/>
          <cell r="DF207"/>
          <cell r="DG207"/>
          <cell r="DH207"/>
          <cell r="DI207"/>
          <cell r="DJ207"/>
          <cell r="DK207"/>
          <cell r="DL207"/>
          <cell r="DM207"/>
          <cell r="DN207"/>
          <cell r="DO207"/>
          <cell r="DP207"/>
          <cell r="DQ207"/>
          <cell r="DR207"/>
          <cell r="DS207"/>
          <cell r="DT207"/>
          <cell r="DU207"/>
          <cell r="DV207"/>
          <cell r="DW207"/>
          <cell r="DX207"/>
          <cell r="ES207" t="str">
            <v>789C-2BW1361.00.CC.0 WATER PUMP</v>
          </cell>
          <cell r="ET207" t="str">
            <v>789C-2BW</v>
          </cell>
          <cell r="EV207" t="str">
            <v>1361.00.CC.0 WATER PUMP</v>
          </cell>
          <cell r="EW207">
            <v>1776.65</v>
          </cell>
          <cell r="EX207">
            <v>260</v>
          </cell>
        </row>
        <row r="208">
          <cell r="ES208" t="str">
            <v>789C-2BW1363.00.CC.0 AFTERCOOLER WATER PUMP</v>
          </cell>
          <cell r="ET208" t="str">
            <v>789C-2BW</v>
          </cell>
          <cell r="EV208" t="str">
            <v>1363.00.CC.0 AFTERCOOLER WATER PUMP</v>
          </cell>
          <cell r="EW208">
            <v>2621.44</v>
          </cell>
          <cell r="EX208">
            <v>260</v>
          </cell>
        </row>
        <row r="209">
          <cell r="ES209" t="str">
            <v>789C-2BW1365.FR.CC.0 BRK OIL COOLER</v>
          </cell>
          <cell r="ET209" t="str">
            <v>789C-2BW</v>
          </cell>
          <cell r="EV209" t="str">
            <v>1365.FR.CC.0 BRK OIL COOLER</v>
          </cell>
          <cell r="EW209">
            <v>3768.7</v>
          </cell>
          <cell r="EX209">
            <v>195</v>
          </cell>
        </row>
        <row r="210">
          <cell r="ES210" t="str">
            <v>789C-2BW1365.RE.CC.0 BRK OIL COOLER</v>
          </cell>
          <cell r="ET210" t="str">
            <v>789C-2BW</v>
          </cell>
          <cell r="EV210" t="str">
            <v>1365.RE.CC.0 BRK OIL COOLER</v>
          </cell>
          <cell r="EW210">
            <v>7552.14</v>
          </cell>
          <cell r="EX210">
            <v>195</v>
          </cell>
        </row>
        <row r="211">
          <cell r="ES211" t="str">
            <v>789C-2BW1375.00.CC.0 TORQUE CONVERTER/TRANSMISSION OIL COOLER</v>
          </cell>
          <cell r="ET211" t="str">
            <v>789C-2BW</v>
          </cell>
          <cell r="EV211" t="str">
            <v>1375.00.CC.0 TORQUE CONVERTER/TRANSMISSION OIL COOLER</v>
          </cell>
          <cell r="EW211">
            <v>3042.94</v>
          </cell>
          <cell r="EX211">
            <v>260</v>
          </cell>
        </row>
        <row r="212">
          <cell r="ES212" t="str">
            <v>789C-2BW1395.CLT.CC.0 ENGINE COOLANT</v>
          </cell>
          <cell r="ET212" t="str">
            <v>789C-2BW</v>
          </cell>
          <cell r="EV212" t="str">
            <v>1395.CLT.CC.0 ENGINE COOLANT</v>
          </cell>
          <cell r="EW212">
            <v>0</v>
          </cell>
          <cell r="EX212">
            <v>0</v>
          </cell>
        </row>
        <row r="213">
          <cell r="ES213" t="str">
            <v>789C-2BW1395.CXT.CC.0 ENGINE COOLANT</v>
          </cell>
          <cell r="ET213" t="str">
            <v>789C-2BW</v>
          </cell>
          <cell r="EV213" t="str">
            <v>1395.CXT.CC.0 ENGINE COOLANT</v>
          </cell>
          <cell r="EW213">
            <v>243.39</v>
          </cell>
          <cell r="EX213">
            <v>0</v>
          </cell>
        </row>
        <row r="214">
          <cell r="ES214" t="str">
            <v>789C-2BW1400.00.GR.0 ELECTRIC SYSTEM</v>
          </cell>
          <cell r="ET214" t="str">
            <v>789C-2BW</v>
          </cell>
          <cell r="EV214" t="str">
            <v>1400.00.GR.0 ELECTRIC SYSTEM</v>
          </cell>
          <cell r="EW214">
            <v>1951.79</v>
          </cell>
          <cell r="EX214">
            <v>780</v>
          </cell>
        </row>
        <row r="215">
          <cell r="ES215" t="str">
            <v>789C-2BW1400.00.RM.0 ELECTRIC SYSTEM</v>
          </cell>
          <cell r="ET215" t="str">
            <v>789C-2BW</v>
          </cell>
          <cell r="EV215" t="str">
            <v>1400.00.RM.0 ELECTRIC SYSTEM</v>
          </cell>
          <cell r="EW215">
            <v>0</v>
          </cell>
          <cell r="EX215">
            <v>65</v>
          </cell>
        </row>
        <row r="216">
          <cell r="ES216" t="str">
            <v>789C-2BW1401.BT1.CC.0 BATTERY</v>
          </cell>
          <cell r="ET216" t="str">
            <v>789C-2BW</v>
          </cell>
          <cell r="EV216" t="str">
            <v>1401.BT1.CC.0 BATTERY</v>
          </cell>
          <cell r="EW216">
            <v>261.01900000000001</v>
          </cell>
          <cell r="EX216">
            <v>32.5</v>
          </cell>
        </row>
        <row r="217">
          <cell r="ES217" t="str">
            <v>789C-2BW1401.BT2.CC.0 BATTERY</v>
          </cell>
          <cell r="ET217" t="str">
            <v>789C-2BW</v>
          </cell>
          <cell r="EV217" t="str">
            <v>1401.BT2.CC.0 BATTERY</v>
          </cell>
          <cell r="EW217">
            <v>261.01900000000001</v>
          </cell>
          <cell r="EX217">
            <v>32.5</v>
          </cell>
        </row>
        <row r="218">
          <cell r="ES218" t="str">
            <v>789C-2BW1405.00.CC.0 ALTERNATOR</v>
          </cell>
          <cell r="ET218" t="str">
            <v>789C-2BW</v>
          </cell>
          <cell r="EV218" t="str">
            <v>1405.00.CC.0 ALTERNATOR</v>
          </cell>
          <cell r="EW218">
            <v>1553.34</v>
          </cell>
          <cell r="EX218">
            <v>130</v>
          </cell>
        </row>
        <row r="219">
          <cell r="ES219" t="str">
            <v>789C-2BW1405.BJ.CC.0 ALTERNATOR</v>
          </cell>
          <cell r="ET219" t="str">
            <v>789C-2BW</v>
          </cell>
          <cell r="EV219" t="str">
            <v>1405.BJ.CC.0 ALTERNATOR</v>
          </cell>
          <cell r="EW219">
            <v>31.96</v>
          </cell>
          <cell r="EX219">
            <v>130</v>
          </cell>
        </row>
        <row r="220">
          <cell r="ES220" t="str">
            <v>789C-2BW1408.00.GR.0 WIRING HARNESS</v>
          </cell>
          <cell r="ET220" t="str">
            <v>789C-2BW</v>
          </cell>
          <cell r="EV220" t="str">
            <v>1408.00.GR.0 WIRING HARNESS</v>
          </cell>
          <cell r="EW220">
            <v>6058.3649999999998</v>
          </cell>
          <cell r="EX220">
            <v>1625</v>
          </cell>
        </row>
        <row r="221">
          <cell r="ES221" t="str">
            <v>789C-2BW1429.00.CC.0 LIGHT(S)</v>
          </cell>
          <cell r="ET221" t="str">
            <v>789C-2BW</v>
          </cell>
          <cell r="EV221" t="str">
            <v>1429.00.CC.0 LIGHT(S)</v>
          </cell>
          <cell r="EW221">
            <v>1786.18</v>
          </cell>
          <cell r="EX221">
            <v>292.5</v>
          </cell>
        </row>
        <row r="222">
          <cell r="ES222" t="str">
            <v>789C-2BW1451.00.CC.0 AIR STARTING MOTOR</v>
          </cell>
          <cell r="ET222" t="str">
            <v>789C-2BW</v>
          </cell>
          <cell r="EV222" t="str">
            <v>1451.00.CC.0 AIR STARTING MOTOR</v>
          </cell>
          <cell r="EW222">
            <v>4298.67</v>
          </cell>
          <cell r="EX222">
            <v>195</v>
          </cell>
        </row>
        <row r="223">
          <cell r="ES223" t="str">
            <v>789C-2BW1802.00.CC.0 REFRIGERANT COMPRESSOR</v>
          </cell>
          <cell r="ET223" t="str">
            <v>789C-2BW</v>
          </cell>
          <cell r="EV223" t="str">
            <v>1802.00.CC.0 REFRIGERANT COMPRESSOR</v>
          </cell>
          <cell r="EW223">
            <v>797.60500000000002</v>
          </cell>
          <cell r="EX223">
            <v>325</v>
          </cell>
        </row>
        <row r="224">
          <cell r="ES224" t="str">
            <v>789C-2BW1802.BJ.CC.0 REFRIGERANT COMPRESSOR</v>
          </cell>
          <cell r="ET224" t="str">
            <v>789C-2BW</v>
          </cell>
          <cell r="EV224" t="str">
            <v>1802.BJ.CC.0 REFRIGERANT COMPRESSOR</v>
          </cell>
          <cell r="EW224">
            <v>44.09</v>
          </cell>
          <cell r="EX224">
            <v>130</v>
          </cell>
        </row>
        <row r="225">
          <cell r="ES225" t="str">
            <v>789C-2BW1803.00.CC.0 AIR COMPRESSOR</v>
          </cell>
          <cell r="ET225" t="str">
            <v>789C-2BW</v>
          </cell>
          <cell r="EV225" t="str">
            <v>1803.00.CC.0 AIR COMPRESSOR</v>
          </cell>
          <cell r="EW225">
            <v>2496.9299999999998</v>
          </cell>
          <cell r="EX225">
            <v>260</v>
          </cell>
        </row>
        <row r="226">
          <cell r="ES226" t="str">
            <v>789C-2BW3016.00.CC.0 DRIVE TRAIN OIL LINES</v>
          </cell>
          <cell r="ET226" t="str">
            <v>789C-2BW</v>
          </cell>
          <cell r="EV226" t="str">
            <v>3016.00.CC.0 DRIVE TRAIN OIL LINES</v>
          </cell>
          <cell r="EW226">
            <v>6023.15</v>
          </cell>
          <cell r="EX226">
            <v>1560</v>
          </cell>
        </row>
        <row r="227">
          <cell r="ES227" t="str">
            <v>789C-2BW3030.00.CC.1RB TRANSMISSION</v>
          </cell>
          <cell r="ET227" t="str">
            <v>789C-2BW</v>
          </cell>
          <cell r="EV227" t="str">
            <v>3030.00.CC.1RB TRANSMISSION</v>
          </cell>
          <cell r="EW227">
            <v>27620.148000000001</v>
          </cell>
          <cell r="EX227">
            <v>1430</v>
          </cell>
        </row>
        <row r="228">
          <cell r="ES228" t="str">
            <v>789C-2BW3030.00.CC.2RB TRANSMISSION</v>
          </cell>
          <cell r="ET228" t="str">
            <v>789C-2BW</v>
          </cell>
          <cell r="EV228" t="str">
            <v>3030.00.CC.2RB TRANSMISSION</v>
          </cell>
          <cell r="EW228">
            <v>43051.597999999998</v>
          </cell>
          <cell r="EX228">
            <v>1430</v>
          </cell>
        </row>
        <row r="229">
          <cell r="ES229" t="str">
            <v>789C-2BW3030.00.RM.0 TRANSMISSION</v>
          </cell>
          <cell r="ET229" t="str">
            <v>789C-2BW</v>
          </cell>
          <cell r="EV229" t="str">
            <v>3030.00.RM.0 TRANSMISSION</v>
          </cell>
          <cell r="EW229">
            <v>344.30500000000001</v>
          </cell>
          <cell r="EX229">
            <v>260</v>
          </cell>
        </row>
        <row r="230">
          <cell r="ES230" t="str">
            <v>789C-2BW3065.00.CC.0 TRANSMISSION CONTROL</v>
          </cell>
          <cell r="ET230" t="str">
            <v>789C-2BW</v>
          </cell>
          <cell r="EV230" t="str">
            <v>3065.00.CC.0 TRANSMISSION CONTROL</v>
          </cell>
          <cell r="EW230">
            <v>390.22</v>
          </cell>
          <cell r="EX230">
            <v>390</v>
          </cell>
        </row>
        <row r="231">
          <cell r="ES231" t="str">
            <v>789C-2BW3066.00.CC.0 TRANSMISSION OIL PUMP</v>
          </cell>
          <cell r="ET231" t="str">
            <v>789C-2BW</v>
          </cell>
          <cell r="EV231" t="str">
            <v>3066.00.CC.0 TRANSMISSION OIL PUMP</v>
          </cell>
          <cell r="EW231">
            <v>1276.6949999999999</v>
          </cell>
          <cell r="EX231">
            <v>195</v>
          </cell>
        </row>
        <row r="232">
          <cell r="ES232" t="str">
            <v>789C-2BW3101.00.CC.1RB TORQUE CONVERTER</v>
          </cell>
          <cell r="ET232" t="str">
            <v>789C-2BW</v>
          </cell>
          <cell r="EV232" t="str">
            <v>3101.00.CC.1RB TORQUE CONVERTER</v>
          </cell>
          <cell r="EW232">
            <v>14032.887000000001</v>
          </cell>
          <cell r="EX232">
            <v>975</v>
          </cell>
        </row>
        <row r="233">
          <cell r="ES233" t="str">
            <v>789C-2BW3101.00.CC.2RB TORQUE CONVERTER</v>
          </cell>
          <cell r="ET233" t="str">
            <v>789C-2BW</v>
          </cell>
          <cell r="EV233" t="str">
            <v>3101.00.CC.2RB TORQUE CONVERTER</v>
          </cell>
          <cell r="EW233">
            <v>21892.206999999999</v>
          </cell>
          <cell r="EX233">
            <v>975</v>
          </cell>
        </row>
        <row r="234">
          <cell r="ES234" t="str">
            <v>789C-2BW3108.00.CC.1RB PUMP DRIVE GRP</v>
          </cell>
          <cell r="ET234" t="str">
            <v>789C-2BW</v>
          </cell>
          <cell r="EV234" t="str">
            <v>3108.00.CC.1RB PUMP DRIVE GRP</v>
          </cell>
          <cell r="EW234">
            <v>2677.8629999999998</v>
          </cell>
          <cell r="EX234">
            <v>585</v>
          </cell>
        </row>
        <row r="235">
          <cell r="ES235" t="str">
            <v>789C-2BW3108.00.CC.2RB PUMP DRIVE GRP</v>
          </cell>
          <cell r="ET235" t="str">
            <v>789C-2BW</v>
          </cell>
          <cell r="EV235" t="str">
            <v>3108.00.CC.2RB PUMP DRIVE GRP</v>
          </cell>
          <cell r="EW235">
            <v>2677.8629999999998</v>
          </cell>
          <cell r="EX235">
            <v>585</v>
          </cell>
        </row>
        <row r="236">
          <cell r="ES236" t="str">
            <v>789C-2BW3115.00.CC.0 POWER TRAIN SCAVENGE PUMP</v>
          </cell>
          <cell r="ET236" t="str">
            <v>789C-2BW</v>
          </cell>
          <cell r="EV236" t="str">
            <v>3115.00.CC.0 POWER TRAIN SCAVENGE PUMP</v>
          </cell>
          <cell r="EW236">
            <v>3602.94313520473</v>
          </cell>
          <cell r="EX236">
            <v>130</v>
          </cell>
        </row>
        <row r="237">
          <cell r="ES237" t="str">
            <v>789C-2BW3142.00.GR.0 AUTOMATIC RETARDER CONTROL</v>
          </cell>
          <cell r="ET237" t="str">
            <v>789C-2BW</v>
          </cell>
          <cell r="EV237" t="str">
            <v>3142.00.GR.0 AUTOMATIC RETARDER CONTROL</v>
          </cell>
          <cell r="EW237">
            <v>1064.5350000000001</v>
          </cell>
          <cell r="EX237">
            <v>390</v>
          </cell>
        </row>
        <row r="238">
          <cell r="ES238" t="str">
            <v>789C-2BW3251.MV.CC.0 UNIVERSAL JOINT</v>
          </cell>
          <cell r="ET238" t="str">
            <v>789C-2BW</v>
          </cell>
          <cell r="EV238" t="str">
            <v>3251.MV.CC.0 UNIVERSAL JOINT</v>
          </cell>
          <cell r="EW238">
            <v>4033.8</v>
          </cell>
          <cell r="EX238">
            <v>130</v>
          </cell>
        </row>
        <row r="239">
          <cell r="ES239" t="str">
            <v>789C-2BW3251.PD.CC.0 UNIVERSAL JOINT</v>
          </cell>
          <cell r="ET239" t="str">
            <v>789C-2BW</v>
          </cell>
          <cell r="EV239" t="str">
            <v>3251.PD.CC.0 UNIVERSAL JOINT</v>
          </cell>
          <cell r="EW239">
            <v>224.76</v>
          </cell>
          <cell r="EX239">
            <v>130</v>
          </cell>
        </row>
        <row r="240">
          <cell r="ES240" t="str">
            <v>789C-2BW3251.PD.RI.0 UNIVERSAL JOINT</v>
          </cell>
          <cell r="ET240" t="str">
            <v>789C-2BW</v>
          </cell>
          <cell r="EV240" t="str">
            <v>3251.PD.RI.0 UNIVERSAL JOINT</v>
          </cell>
          <cell r="EW240">
            <v>0</v>
          </cell>
          <cell r="EX240">
            <v>65</v>
          </cell>
        </row>
        <row r="241">
          <cell r="ES241" t="str">
            <v>789C-2BW3253.MV.CC.0 DRIVESHAFT</v>
          </cell>
          <cell r="ET241" t="str">
            <v>789C-2BW</v>
          </cell>
          <cell r="EV241" t="str">
            <v>3253.MV.CC.0 DRIVESHAFT</v>
          </cell>
          <cell r="EW241">
            <v>11017.18</v>
          </cell>
          <cell r="EX241">
            <v>325</v>
          </cell>
        </row>
        <row r="242">
          <cell r="ES242" t="str">
            <v>789C-2BW3253.MV.RI.0 DRIVESHAFT</v>
          </cell>
          <cell r="ET242" t="str">
            <v>789C-2BW</v>
          </cell>
          <cell r="EV242" t="str">
            <v>3253.MV.RI.0 DRIVESHAFT</v>
          </cell>
          <cell r="EW242">
            <v>13.452</v>
          </cell>
          <cell r="EX242">
            <v>65</v>
          </cell>
        </row>
        <row r="243">
          <cell r="ES243" t="str">
            <v>789C-2BW3253.PD.CC.0 DRIVESHAFT</v>
          </cell>
          <cell r="ET243" t="str">
            <v>789C-2BW</v>
          </cell>
          <cell r="EV243" t="str">
            <v>3253.PD.CC.0 DRIVESHAFT</v>
          </cell>
          <cell r="EW243">
            <v>1202.6400000000001</v>
          </cell>
          <cell r="EX243">
            <v>32.5</v>
          </cell>
        </row>
        <row r="244">
          <cell r="ES244" t="str">
            <v>789C-2BW3258.00.CC.1RB DIFFERENTIAL</v>
          </cell>
          <cell r="ET244" t="str">
            <v>789C-2BW</v>
          </cell>
          <cell r="EV244" t="str">
            <v>3258.00.CC.1RB DIFFERENTIAL</v>
          </cell>
          <cell r="EW244">
            <v>17005.3</v>
          </cell>
          <cell r="EX244">
            <v>1560</v>
          </cell>
        </row>
        <row r="245">
          <cell r="ES245" t="str">
            <v>789C-2BW3258.00.CC.2RB DIFFERENTIAL</v>
          </cell>
          <cell r="ET245" t="str">
            <v>789C-2BW</v>
          </cell>
          <cell r="EV245" t="str">
            <v>3258.00.CC.2RB DIFFERENTIAL</v>
          </cell>
          <cell r="EW245">
            <v>30302.32</v>
          </cell>
          <cell r="EX245">
            <v>1560</v>
          </cell>
        </row>
        <row r="246">
          <cell r="ES246" t="str">
            <v>789C-2BW3259.LR.CC.0 AXLE SHAFT</v>
          </cell>
          <cell r="ET246" t="str">
            <v>789C-2BW</v>
          </cell>
          <cell r="EV246" t="str">
            <v>3259.LR.CC.0 AXLE SHAFT</v>
          </cell>
          <cell r="EW246">
            <v>5939.8210878928003</v>
          </cell>
          <cell r="EX246">
            <v>32.5</v>
          </cell>
        </row>
        <row r="247">
          <cell r="ES247" t="str">
            <v>789C-2BW3259.LR.RI.0 AXLE SHAFT</v>
          </cell>
          <cell r="ET247" t="str">
            <v>789C-2BW</v>
          </cell>
          <cell r="EV247" t="str">
            <v>3259.LR.RI.0 AXLE SHAFT</v>
          </cell>
          <cell r="EW247">
            <v>14.34</v>
          </cell>
          <cell r="EX247">
            <v>195</v>
          </cell>
        </row>
        <row r="248">
          <cell r="ES248" t="str">
            <v>789C-2BW3259.RR.CC.0 AXLE SHAFT</v>
          </cell>
          <cell r="ET248" t="str">
            <v>789C-2BW</v>
          </cell>
          <cell r="EV248" t="str">
            <v>3259.RR.CC.0 AXLE SHAFT</v>
          </cell>
          <cell r="EW248">
            <v>5639.11883480499</v>
          </cell>
          <cell r="EX248">
            <v>32.5</v>
          </cell>
        </row>
        <row r="249">
          <cell r="ES249" t="str">
            <v>789C-2BW3259.RR.RI.0 AXLE SHAFT</v>
          </cell>
          <cell r="ET249" t="str">
            <v>789C-2BW</v>
          </cell>
          <cell r="EV249" t="str">
            <v>3259.RR.RI.0 AXLE SHAFT</v>
          </cell>
          <cell r="EW249">
            <v>14.34</v>
          </cell>
          <cell r="EX249">
            <v>195</v>
          </cell>
        </row>
        <row r="250">
          <cell r="ES250" t="str">
            <v>789C-2BW3260.00.CO.AFRM AXLE HOUSING ASSEMBLY</v>
          </cell>
          <cell r="ET250" t="str">
            <v>789C-2BW</v>
          </cell>
          <cell r="EV250" t="str">
            <v>3260.00.CO.AFRM AXLE HOUSING ASSEMBLY</v>
          </cell>
          <cell r="EW250">
            <v>5744.6785</v>
          </cell>
          <cell r="EX250">
            <v>1950</v>
          </cell>
        </row>
        <row r="251">
          <cell r="ES251" t="str">
            <v>789C-2BW3260.00.GR.0 AXLE HOUSING ASSEMBLY</v>
          </cell>
          <cell r="ET251" t="str">
            <v>789C-2BW</v>
          </cell>
          <cell r="EV251" t="str">
            <v>3260.00.GR.0 AXLE HOUSING ASSEMBLY</v>
          </cell>
          <cell r="EW251">
            <v>92.421499999999995</v>
          </cell>
          <cell r="EX251">
            <v>1170</v>
          </cell>
        </row>
        <row r="252">
          <cell r="ES252" t="str">
            <v>789C-2BW3291.00.CC.0 DRIVE AXLE OIL PUMP</v>
          </cell>
          <cell r="ET252" t="str">
            <v>789C-2BW</v>
          </cell>
          <cell r="EV252" t="str">
            <v>3291.00.CC.0 DRIVE AXLE OIL PUMP</v>
          </cell>
          <cell r="EW252">
            <v>2572.366</v>
          </cell>
          <cell r="EX252">
            <v>32.5</v>
          </cell>
        </row>
        <row r="253">
          <cell r="ES253" t="str">
            <v>789C-2BW4008.LR.CC.1RB FINAL DRIVE, BRAKE AND WHEEL</v>
          </cell>
          <cell r="ET253" t="str">
            <v>789C-2BW</v>
          </cell>
          <cell r="EV253" t="str">
            <v>4008.LR.CC.1RB FINAL DRIVE, BRAKE AND WHEEL</v>
          </cell>
          <cell r="EW253">
            <v>48585.66</v>
          </cell>
          <cell r="EX253">
            <v>1560</v>
          </cell>
        </row>
        <row r="254">
          <cell r="ES254" t="str">
            <v>789C-2BW4008.LR.CC.2RB FINAL DRIVE, BRAKE AND WHEEL</v>
          </cell>
          <cell r="ET254" t="str">
            <v>789C-2BW</v>
          </cell>
          <cell r="EV254" t="str">
            <v>4008.LR.CC.2RB FINAL DRIVE, BRAKE AND WHEEL</v>
          </cell>
          <cell r="EW254">
            <v>63880.46</v>
          </cell>
          <cell r="EX254">
            <v>1560</v>
          </cell>
        </row>
        <row r="255">
          <cell r="ES255" t="str">
            <v>789C-2BW4008.RR.CC.1RB FINAL DRIVE, BRAKE AND WHEEL</v>
          </cell>
          <cell r="ET255" t="str">
            <v>789C-2BW</v>
          </cell>
          <cell r="EV255" t="str">
            <v>4008.RR.CC.1RB FINAL DRIVE, BRAKE AND WHEEL</v>
          </cell>
          <cell r="EW255">
            <v>48585.66</v>
          </cell>
          <cell r="EX255">
            <v>1560</v>
          </cell>
        </row>
        <row r="256">
          <cell r="ES256" t="str">
            <v>789C-2BW4008.RR.CC.2RB FINAL DRIVE, BRAKE AND WHEEL</v>
          </cell>
          <cell r="ET256" t="str">
            <v>789C-2BW</v>
          </cell>
          <cell r="EV256" t="str">
            <v>4008.RR.CC.2RB FINAL DRIVE, BRAKE AND WHEEL</v>
          </cell>
          <cell r="EW256">
            <v>63880.46</v>
          </cell>
          <cell r="EX256">
            <v>1560</v>
          </cell>
        </row>
        <row r="257">
          <cell r="ES257" t="str">
            <v>789C-2BW4215.LF.CO.0 WHEEL BEARING - FR</v>
          </cell>
          <cell r="ET257" t="str">
            <v>789C-2BW</v>
          </cell>
          <cell r="EV257" t="str">
            <v>4215.LF.CO.0 WHEEL BEARING - FR</v>
          </cell>
          <cell r="EW257">
            <v>8947.3345000000008</v>
          </cell>
          <cell r="EX257">
            <v>2990</v>
          </cell>
        </row>
        <row r="258">
          <cell r="ES258" t="str">
            <v>789C-2BW4215.RF.CO.0 WHEEL BEARING - FR</v>
          </cell>
          <cell r="ET258" t="str">
            <v>789C-2BW</v>
          </cell>
          <cell r="EV258" t="str">
            <v>4215.RF.CO.0 WHEEL BEARING - FR</v>
          </cell>
          <cell r="EW258">
            <v>8947.3345000000008</v>
          </cell>
          <cell r="EX258">
            <v>2990</v>
          </cell>
        </row>
        <row r="259">
          <cell r="ES259" t="str">
            <v>789C-2BW4250.00.GR.0 BRAKING SYSTEM</v>
          </cell>
          <cell r="ET259" t="str">
            <v>789C-2BW</v>
          </cell>
          <cell r="EV259" t="str">
            <v>4250.00.GR.0 BRAKING SYSTEM</v>
          </cell>
          <cell r="EW259">
            <v>0</v>
          </cell>
          <cell r="EX259">
            <v>780</v>
          </cell>
        </row>
        <row r="260">
          <cell r="ES260" t="str">
            <v>789C-2BW4251.LF.CC.0 BRAKE GRP</v>
          </cell>
          <cell r="ET260" t="str">
            <v>789C-2BW</v>
          </cell>
          <cell r="EV260" t="str">
            <v>4251.LF.CC.0 BRAKE GRP</v>
          </cell>
          <cell r="EW260">
            <v>9563.73</v>
          </cell>
          <cell r="EX260">
            <v>1950</v>
          </cell>
        </row>
        <row r="261">
          <cell r="ES261" t="str">
            <v>789C-2BW4251.RF.CC.0 BRAKE GRP</v>
          </cell>
          <cell r="ET261" t="str">
            <v>789C-2BW</v>
          </cell>
          <cell r="EV261" t="str">
            <v>4251.RF.CC.0 BRAKE GRP</v>
          </cell>
          <cell r="EW261">
            <v>9563.73</v>
          </cell>
          <cell r="EX261">
            <v>1950</v>
          </cell>
        </row>
        <row r="262">
          <cell r="ES262" t="str">
            <v>789C-2BW4257.FR.GR.0 BRAKE LINES</v>
          </cell>
          <cell r="ET262" t="str">
            <v>789C-2BW</v>
          </cell>
          <cell r="EV262" t="str">
            <v>4257.FR.GR.0 BRAKE LINES</v>
          </cell>
          <cell r="EW262">
            <v>804.99</v>
          </cell>
          <cell r="EX262">
            <v>1365</v>
          </cell>
        </row>
        <row r="263">
          <cell r="ES263" t="str">
            <v>789C-2BW4257.RE.GR.0 BRAKE LINES</v>
          </cell>
          <cell r="ET263" t="str">
            <v>789C-2BW</v>
          </cell>
          <cell r="EV263" t="str">
            <v>4257.RE.GR.0 BRAKE LINES</v>
          </cell>
          <cell r="EW263">
            <v>940.58749999999998</v>
          </cell>
          <cell r="EX263">
            <v>975</v>
          </cell>
        </row>
        <row r="264">
          <cell r="ES264" t="str">
            <v>789C-2BW4261.FR.CC.0 BRAKE/SLACK ADJUSTER</v>
          </cell>
          <cell r="ET264" t="str">
            <v>789C-2BW</v>
          </cell>
          <cell r="EV264" t="str">
            <v>4261.FR.CC.0 BRAKE/SLACK ADJUSTER</v>
          </cell>
          <cell r="EW264">
            <v>352.46199999999999</v>
          </cell>
          <cell r="EX264">
            <v>195</v>
          </cell>
        </row>
        <row r="265">
          <cell r="ES265" t="str">
            <v>789C-2BW4261.RE.CC.0 BRAKE/SLACK ADJUSTER</v>
          </cell>
          <cell r="ET265" t="str">
            <v>789C-2BW</v>
          </cell>
          <cell r="EV265" t="str">
            <v>4261.RE.CC.0 BRAKE/SLACK ADJUSTER</v>
          </cell>
          <cell r="EW265">
            <v>336.05799999999999</v>
          </cell>
          <cell r="EX265">
            <v>195</v>
          </cell>
        </row>
        <row r="266">
          <cell r="ES266" t="str">
            <v>789C-2BW4265.00.CC.0 SERVICE BRAKE CONTROL VALVE</v>
          </cell>
          <cell r="ET266" t="str">
            <v>789C-2BW</v>
          </cell>
          <cell r="EV266" t="str">
            <v>4265.00.CC.0 SERVICE BRAKE CONTROL VALVE</v>
          </cell>
          <cell r="EW266">
            <v>449.48</v>
          </cell>
          <cell r="EX266">
            <v>195</v>
          </cell>
        </row>
        <row r="267">
          <cell r="ES267" t="str">
            <v>789C-2BW4265.00.RM.0 SERVICE BRAKE CONTROL VALVE</v>
          </cell>
          <cell r="ET267" t="str">
            <v>789C-2BW</v>
          </cell>
          <cell r="EV267" t="str">
            <v>4265.00.RM.0 SERVICE BRAKE CONTROL VALVE</v>
          </cell>
          <cell r="EW267">
            <v>33.886775999999998</v>
          </cell>
          <cell r="EX267">
            <v>32.5</v>
          </cell>
        </row>
        <row r="268">
          <cell r="ES268" t="str">
            <v>789C-2BW4277.FR.CC.0 BRAKE AIR OVER HYDRAULIC CYLINDER</v>
          </cell>
          <cell r="ET268" t="str">
            <v>789C-2BW</v>
          </cell>
          <cell r="EV268" t="str">
            <v>4277.FR.CC.0 BRAKE AIR OVER HYDRAULIC CYLINDER</v>
          </cell>
          <cell r="EW268">
            <v>995.83249999999998</v>
          </cell>
          <cell r="EX268">
            <v>260</v>
          </cell>
        </row>
        <row r="269">
          <cell r="ES269" t="str">
            <v>789C-2BW4277.RE.CC.0 BRAKE AIR OVER HYDRAULIC CYLINDER</v>
          </cell>
          <cell r="ET269" t="str">
            <v>789C-2BW</v>
          </cell>
          <cell r="EV269" t="str">
            <v>4277.RE.CC.0 BRAKE AIR OVER HYDRAULIC CYLINDER</v>
          </cell>
          <cell r="EW269">
            <v>1044.345</v>
          </cell>
          <cell r="EX269">
            <v>260</v>
          </cell>
        </row>
        <row r="270">
          <cell r="ES270" t="str">
            <v>789C-2BW4284.00.CC.0 PARKING BRAKE CONTROL</v>
          </cell>
          <cell r="ET270" t="str">
            <v>789C-2BW</v>
          </cell>
          <cell r="EV270" t="str">
            <v>4284.00.CC.0 PARKING BRAKE CONTROL</v>
          </cell>
          <cell r="EW270">
            <v>270.85500000000002</v>
          </cell>
          <cell r="EX270">
            <v>195</v>
          </cell>
        </row>
        <row r="271">
          <cell r="ES271" t="str">
            <v>789C-2BW4285.00.CC.0 AIR DRYER</v>
          </cell>
          <cell r="ET271" t="str">
            <v>789C-2BW</v>
          </cell>
          <cell r="EV271" t="str">
            <v>4285.00.CC.0 AIR DRYER</v>
          </cell>
          <cell r="EW271">
            <v>222.71</v>
          </cell>
          <cell r="EX271">
            <v>130</v>
          </cell>
        </row>
        <row r="272">
          <cell r="ES272" t="str">
            <v>789C-2BW4294.00.CC.0 AUTOMATIC ELECTRONIC TRACTION AID</v>
          </cell>
          <cell r="ET272" t="str">
            <v>789C-2BW</v>
          </cell>
          <cell r="EV272" t="str">
            <v>4294.00.CC.0 AUTOMATIC ELECTRONIC TRACTION AID</v>
          </cell>
          <cell r="EW272">
            <v>1348.8</v>
          </cell>
          <cell r="EX272">
            <v>325</v>
          </cell>
        </row>
        <row r="273">
          <cell r="ES273" t="str">
            <v>789C-2BW4300.00.GR.0 STEERING SYSTEM</v>
          </cell>
          <cell r="ET273" t="str">
            <v>789C-2BW</v>
          </cell>
          <cell r="EV273" t="str">
            <v>4300.00.GR.0 STEERING SYSTEM</v>
          </cell>
          <cell r="EW273">
            <v>236.26</v>
          </cell>
          <cell r="EX273">
            <v>780</v>
          </cell>
        </row>
        <row r="274">
          <cell r="ES274" t="str">
            <v>789C-2BW4303.LT.CC.0 STEERING CYLD</v>
          </cell>
          <cell r="ET274" t="str">
            <v>789C-2BW</v>
          </cell>
          <cell r="EV274" t="str">
            <v>4303.LT.CC.0 STEERING CYLD</v>
          </cell>
          <cell r="EW274">
            <v>5786.9210000000003</v>
          </cell>
          <cell r="EX274">
            <v>325</v>
          </cell>
        </row>
        <row r="275">
          <cell r="ES275" t="str">
            <v>789C-2BW4303.RI.CC.0 STEERING CYLD</v>
          </cell>
          <cell r="ET275" t="str">
            <v>789C-2BW</v>
          </cell>
          <cell r="EV275" t="str">
            <v>4303.RI.CC.0 STEERING CYLD</v>
          </cell>
          <cell r="EW275">
            <v>5786.9210000000003</v>
          </cell>
          <cell r="EX275">
            <v>325</v>
          </cell>
        </row>
        <row r="276">
          <cell r="ES276" t="str">
            <v>789C-2BW4304.00.CC.0 STEERING LINES/HOSES</v>
          </cell>
          <cell r="ET276" t="str">
            <v>789C-2BW</v>
          </cell>
          <cell r="EV276" t="str">
            <v>4304.00.CC.0 STEERING LINES/HOSES</v>
          </cell>
          <cell r="EW276">
            <v>4462.9799999999996</v>
          </cell>
          <cell r="EX276">
            <v>195</v>
          </cell>
        </row>
        <row r="277">
          <cell r="ES277" t="str">
            <v>789C-2BW4305.CE.CC.0 STEERING LINKAGE</v>
          </cell>
          <cell r="ET277" t="str">
            <v>789C-2BW</v>
          </cell>
          <cell r="EV277" t="str">
            <v>4305.CE.CC.0 STEERING LINKAGE</v>
          </cell>
          <cell r="EW277">
            <v>1079.72</v>
          </cell>
          <cell r="EX277">
            <v>520</v>
          </cell>
        </row>
        <row r="278">
          <cell r="ES278" t="str">
            <v>789C-2BW4305.LT.CC.0 STEERING LINKAGE</v>
          </cell>
          <cell r="ET278" t="str">
            <v>789C-2BW</v>
          </cell>
          <cell r="EV278" t="str">
            <v>4305.LT.CC.0 STEERING LINKAGE</v>
          </cell>
          <cell r="EW278">
            <v>3088.8879999999999</v>
          </cell>
          <cell r="EX278">
            <v>390</v>
          </cell>
        </row>
        <row r="279">
          <cell r="ES279" t="str">
            <v>789C-2BW4305.RI.CC.0 STEERING LINKAGE</v>
          </cell>
          <cell r="ET279" t="str">
            <v>789C-2BW</v>
          </cell>
          <cell r="EV279" t="str">
            <v>4305.RI.CC.0 STEERING LINKAGE</v>
          </cell>
          <cell r="EW279">
            <v>3088.8879999999999</v>
          </cell>
          <cell r="EX279">
            <v>390</v>
          </cell>
        </row>
        <row r="280">
          <cell r="ES280" t="str">
            <v>789C-2BW4306.00.CC.0 STEERING PUMP</v>
          </cell>
          <cell r="ET280" t="str">
            <v>789C-2BW</v>
          </cell>
          <cell r="EV280" t="str">
            <v>4306.00.CC.0 STEERING PUMP</v>
          </cell>
          <cell r="EW280">
            <v>4931.1000000000004</v>
          </cell>
          <cell r="EX280">
            <v>325</v>
          </cell>
        </row>
        <row r="281">
          <cell r="ES281" t="str">
            <v>789C-2BW4307.00.CC.0 STEERING VALVE</v>
          </cell>
          <cell r="ET281" t="str">
            <v>789C-2BW</v>
          </cell>
          <cell r="EV281" t="str">
            <v>4307.00.CC.0 STEERING VALVE</v>
          </cell>
          <cell r="EW281">
            <v>125.69</v>
          </cell>
          <cell r="EX281">
            <v>260</v>
          </cell>
        </row>
        <row r="282">
          <cell r="ES282" t="str">
            <v>789C-2BW4312.00.CC.0 HMU</v>
          </cell>
          <cell r="ET282" t="str">
            <v>789C-2BW</v>
          </cell>
          <cell r="EV282" t="str">
            <v>4312.00.CC.0 HMU</v>
          </cell>
          <cell r="EW282">
            <v>1227.365</v>
          </cell>
          <cell r="EX282">
            <v>260</v>
          </cell>
        </row>
        <row r="283">
          <cell r="ES283" t="str">
            <v>789C-2BW4331.FR.CC.0 STEERING ACCUMULATOR</v>
          </cell>
          <cell r="ET283" t="str">
            <v>789C-2BW</v>
          </cell>
          <cell r="EV283" t="str">
            <v>4331.FR.CC.0 STEERING ACCUMULATOR</v>
          </cell>
          <cell r="EW283">
            <v>1682.34</v>
          </cell>
          <cell r="EX283">
            <v>195</v>
          </cell>
        </row>
        <row r="284">
          <cell r="ES284" t="str">
            <v>789C-2BW4331.RE.CC.0 STEERING ACCUMULATOR</v>
          </cell>
          <cell r="ET284" t="str">
            <v>789C-2BW</v>
          </cell>
          <cell r="EV284" t="str">
            <v>4331.RE.CC.0 STEERING ACCUMULATOR</v>
          </cell>
          <cell r="EW284">
            <v>1682.34</v>
          </cell>
          <cell r="EX284">
            <v>195</v>
          </cell>
        </row>
        <row r="285">
          <cell r="ES285" t="str">
            <v>789C-2BW4332.00.CC.0 STEERING HYDRAULIC TANK</v>
          </cell>
          <cell r="ET285" t="str">
            <v>789C-2BW</v>
          </cell>
          <cell r="EV285" t="str">
            <v>4332.00.CC.0 STEERING HYDRAULIC TANK</v>
          </cell>
          <cell r="EW285">
            <v>604.61</v>
          </cell>
          <cell r="EX285">
            <v>325</v>
          </cell>
        </row>
        <row r="286">
          <cell r="ES286" t="str">
            <v>789C-2BW4354.00.CC.0 BRAKE RELEASE PUMP</v>
          </cell>
          <cell r="ET286" t="str">
            <v>789C-2BW</v>
          </cell>
          <cell r="EV286" t="str">
            <v>4354.00.CC.0 BRAKE RELEASE PUMP</v>
          </cell>
          <cell r="EW286">
            <v>1678.73</v>
          </cell>
          <cell r="EX286">
            <v>65</v>
          </cell>
        </row>
        <row r="287">
          <cell r="ES287" t="str">
            <v>789C-2BW5050.00.GR.0 HYDRAULIC SYSTEM</v>
          </cell>
          <cell r="ET287" t="str">
            <v>789C-2BW</v>
          </cell>
          <cell r="EV287" t="str">
            <v>5050.00.GR.0 HYDRAULIC SYSTEM</v>
          </cell>
          <cell r="EW287">
            <v>0</v>
          </cell>
          <cell r="EX287">
            <v>780</v>
          </cell>
        </row>
        <row r="288">
          <cell r="ES288" t="str">
            <v>789C-2BW5051.00.CC.0 HYDRAULIC CONTROL VALVE</v>
          </cell>
          <cell r="ET288" t="str">
            <v>789C-2BW</v>
          </cell>
          <cell r="EV288" t="str">
            <v>5051.00.CC.0 HYDRAULIC CONTROL VALVE</v>
          </cell>
          <cell r="EW288">
            <v>392.63</v>
          </cell>
          <cell r="EX288">
            <v>780</v>
          </cell>
        </row>
        <row r="289">
          <cell r="ES289" t="str">
            <v>789C-2BW5056.00.CC.0 HYDRAULIC TANK</v>
          </cell>
          <cell r="ET289" t="str">
            <v>789C-2BW</v>
          </cell>
          <cell r="EV289" t="str">
            <v>5056.00.CC.0 HYDRAULIC TANK</v>
          </cell>
          <cell r="EW289">
            <v>1820.9715000000001</v>
          </cell>
          <cell r="EX289">
            <v>390</v>
          </cell>
        </row>
        <row r="290">
          <cell r="ES290" t="str">
            <v>789C-2BW5057.00.CC.0 HYDRAULIC HOSE/LINES</v>
          </cell>
          <cell r="ET290" t="str">
            <v>789C-2BW</v>
          </cell>
          <cell r="EV290" t="str">
            <v>5057.00.CC.0 HYDRAULIC HOSE/LINES</v>
          </cell>
          <cell r="EW290">
            <v>13394.299000000001</v>
          </cell>
          <cell r="EX290">
            <v>1040</v>
          </cell>
        </row>
        <row r="291">
          <cell r="ES291" t="str">
            <v>789C-2BW5057.HQ.CC.0 HYDRAULIC HOSE/LINES</v>
          </cell>
          <cell r="ET291" t="str">
            <v>789C-2BW</v>
          </cell>
          <cell r="EV291" t="str">
            <v>5057.HQ.CC.0 HYDRAULIC HOSE/LINES</v>
          </cell>
          <cell r="EW291">
            <v>2900.826</v>
          </cell>
          <cell r="EX291">
            <v>390</v>
          </cell>
        </row>
        <row r="292">
          <cell r="ES292" t="str">
            <v>789C-2BW5063.00.CC.0 IMPLEMENT CONTROL</v>
          </cell>
          <cell r="ET292" t="str">
            <v>789C-2BW</v>
          </cell>
          <cell r="EV292" t="str">
            <v>5063.00.CC.0 IMPLEMENT CONTROL</v>
          </cell>
          <cell r="EW292">
            <v>108.8</v>
          </cell>
          <cell r="EX292">
            <v>195</v>
          </cell>
        </row>
        <row r="293">
          <cell r="ES293" t="str">
            <v>789C-2BW5084.00.CC.0 IMPLEMENT PUMP</v>
          </cell>
          <cell r="ET293" t="str">
            <v>789C-2BW</v>
          </cell>
          <cell r="EV293" t="str">
            <v>5084.00.CC.0 IMPLEMENT PUMP</v>
          </cell>
          <cell r="EW293">
            <v>6427.34</v>
          </cell>
          <cell r="EX293">
            <v>357.5</v>
          </cell>
        </row>
        <row r="294">
          <cell r="ES294" t="str">
            <v>789C-2BW5102.LT.CC.0 HOIST CYLINDER</v>
          </cell>
          <cell r="ET294" t="str">
            <v>789C-2BW</v>
          </cell>
          <cell r="EV294" t="str">
            <v>5102.LT.CC.0 HOIST CYLINDER</v>
          </cell>
          <cell r="EW294">
            <v>12962.046</v>
          </cell>
          <cell r="EX294">
            <v>780</v>
          </cell>
        </row>
        <row r="295">
          <cell r="ES295" t="str">
            <v>789C-2BW5102.RI.CC.0 HOIST CYLINDER</v>
          </cell>
          <cell r="ET295" t="str">
            <v>789C-2BW</v>
          </cell>
          <cell r="EV295" t="str">
            <v>5102.RI.CC.0 HOIST CYLINDER</v>
          </cell>
          <cell r="EW295">
            <v>12962.046</v>
          </cell>
          <cell r="EX295">
            <v>780</v>
          </cell>
        </row>
        <row r="296">
          <cell r="ES296" t="str">
            <v>789C-2BW5500.00.GR.0 AIR CONTROL SYSTEM</v>
          </cell>
          <cell r="ET296" t="str">
            <v>789C-2BW</v>
          </cell>
          <cell r="EV296" t="str">
            <v>5500.00.GR.0 AIR CONTROL SYSTEM</v>
          </cell>
          <cell r="EW296">
            <v>1315.452</v>
          </cell>
          <cell r="EX296">
            <v>195</v>
          </cell>
        </row>
        <row r="297">
          <cell r="ES297" t="str">
            <v>789C-2BW5500.00.RM.0 AIR CONTROL SYSTEM</v>
          </cell>
          <cell r="ET297" t="str">
            <v>789C-2BW</v>
          </cell>
          <cell r="EV297" t="str">
            <v>5500.00.RM.0 AIR CONTROL SYSTEM</v>
          </cell>
          <cell r="EW297">
            <v>0</v>
          </cell>
          <cell r="EX297">
            <v>65</v>
          </cell>
        </row>
        <row r="298">
          <cell r="ES298" t="str">
            <v>789C-2BW7000.00.RI.0 MACHINE</v>
          </cell>
          <cell r="ET298" t="str">
            <v>789C-2BW</v>
          </cell>
          <cell r="EV298" t="str">
            <v>7000.00.RI.0 MACHINE</v>
          </cell>
          <cell r="EW298">
            <v>0</v>
          </cell>
          <cell r="EX298">
            <v>65</v>
          </cell>
        </row>
        <row r="299">
          <cell r="ES299" t="str">
            <v>789C-2BW7050.00.GR.0 FRAME</v>
          </cell>
          <cell r="ET299" t="str">
            <v>789C-2BW</v>
          </cell>
          <cell r="EV299" t="str">
            <v>7050.00.GR.0 FRAME</v>
          </cell>
          <cell r="EW299">
            <v>7.952</v>
          </cell>
          <cell r="EX299">
            <v>2437.5</v>
          </cell>
        </row>
        <row r="300">
          <cell r="ES300" t="str">
            <v>789C-2BW7201.FR.RM.0 SUSPENSION</v>
          </cell>
          <cell r="ET300" t="str">
            <v>789C-2BW</v>
          </cell>
          <cell r="EV300" t="str">
            <v>7201.FR.RM.0 SUSPENSION</v>
          </cell>
          <cell r="EW300">
            <v>72.040000000000006</v>
          </cell>
          <cell r="EX300">
            <v>195</v>
          </cell>
        </row>
        <row r="301">
          <cell r="ES301" t="str">
            <v>789C-2BW7201.LF.CC.0 SUSPENSION</v>
          </cell>
          <cell r="ET301" t="str">
            <v>789C-2BW</v>
          </cell>
          <cell r="EV301" t="str">
            <v>7201.LF.CC.0 SUSPENSION</v>
          </cell>
          <cell r="EW301">
            <v>18074.092000000001</v>
          </cell>
          <cell r="EX301">
            <v>1950</v>
          </cell>
        </row>
        <row r="302">
          <cell r="ES302" t="str">
            <v>789C-2BW7201.RF.CC.0 SUSPENSION</v>
          </cell>
          <cell r="ET302" t="str">
            <v>789C-2BW</v>
          </cell>
          <cell r="EV302" t="str">
            <v>7201.RF.CC.0 SUSPENSION</v>
          </cell>
          <cell r="EW302">
            <v>18074.092000000001</v>
          </cell>
          <cell r="EX302">
            <v>1950</v>
          </cell>
        </row>
        <row r="303">
          <cell r="ES303" t="str">
            <v>789C-2BW7213.LR.CC.0 SUSPENSION</v>
          </cell>
          <cell r="ET303" t="str">
            <v>789C-2BW</v>
          </cell>
          <cell r="EV303" t="str">
            <v>7213.LR.CC.0 SUSPENSION</v>
          </cell>
          <cell r="EW303">
            <v>12015.5715</v>
          </cell>
          <cell r="EX303">
            <v>650</v>
          </cell>
        </row>
        <row r="304">
          <cell r="ES304" t="str">
            <v>789C-2BW7213.RE.RM.0 SUSPENSION</v>
          </cell>
          <cell r="ET304" t="str">
            <v>789C-2BW</v>
          </cell>
          <cell r="EV304" t="str">
            <v>7213.RE.RM.0 SUSPENSION</v>
          </cell>
          <cell r="EW304">
            <v>72.040000000000006</v>
          </cell>
          <cell r="EX304">
            <v>195</v>
          </cell>
        </row>
        <row r="305">
          <cell r="ES305" t="str">
            <v>789C-2BW7213.RR.CC.0 SUSPENSION</v>
          </cell>
          <cell r="ET305" t="str">
            <v>789C-2BW</v>
          </cell>
          <cell r="EV305" t="str">
            <v>7213.RR.CC.0 SUSPENSION</v>
          </cell>
          <cell r="EW305">
            <v>12015.5715</v>
          </cell>
          <cell r="EX305">
            <v>650</v>
          </cell>
        </row>
        <row r="306">
          <cell r="ES306" t="str">
            <v>789C-2BW7251.00.GR.0 HOOD</v>
          </cell>
          <cell r="ET306" t="str">
            <v>789C-2BW</v>
          </cell>
          <cell r="EV306" t="str">
            <v>7251.00.GR.0 HOOD</v>
          </cell>
          <cell r="EW306">
            <v>69.873999999999995</v>
          </cell>
          <cell r="EX306">
            <v>195</v>
          </cell>
        </row>
        <row r="307">
          <cell r="ES307" t="str">
            <v>789C-2BW7252.00.GR.0 FENDER</v>
          </cell>
          <cell r="ET307" t="str">
            <v>789C-2BW</v>
          </cell>
          <cell r="EV307" t="str">
            <v>7252.00.GR.0 FENDER</v>
          </cell>
          <cell r="EW307">
            <v>3.7435</v>
          </cell>
          <cell r="EX307">
            <v>292.5</v>
          </cell>
        </row>
        <row r="308">
          <cell r="ES308" t="str">
            <v>789C-2BW7253.00.GR.0 PLATFORM/DECK</v>
          </cell>
          <cell r="ET308" t="str">
            <v>789C-2BW</v>
          </cell>
          <cell r="EV308" t="str">
            <v>7253.00.GR.0 PLATFORM/DECK</v>
          </cell>
          <cell r="EW308">
            <v>34.56</v>
          </cell>
          <cell r="EX308">
            <v>780</v>
          </cell>
        </row>
        <row r="309">
          <cell r="ES309" t="str">
            <v>789C-2BW7254.00.GR.0 LADDER/STEP</v>
          </cell>
          <cell r="ET309" t="str">
            <v>789C-2BW</v>
          </cell>
          <cell r="EV309" t="str">
            <v>7254.00.GR.0 LADDER/STEP</v>
          </cell>
          <cell r="EW309">
            <v>20.591999999999999</v>
          </cell>
          <cell r="EX309">
            <v>390</v>
          </cell>
        </row>
        <row r="310">
          <cell r="ES310" t="str">
            <v>789C-2BW7258.00.GR.0 DUMP BODY</v>
          </cell>
          <cell r="ET310" t="str">
            <v>789C-2BW</v>
          </cell>
          <cell r="EV310" t="str">
            <v>7258.00.GR.0 DUMP BODY</v>
          </cell>
          <cell r="EW310">
            <v>4229.7785999999996</v>
          </cell>
          <cell r="EX310">
            <v>585</v>
          </cell>
        </row>
        <row r="311">
          <cell r="ES311" t="str">
            <v>789C-2BW7300.00.GR.0 OPERATOR STATION</v>
          </cell>
          <cell r="ET311" t="str">
            <v>789C-2BW</v>
          </cell>
          <cell r="EV311" t="str">
            <v>7300.00.GR.0 OPERATOR STATION</v>
          </cell>
          <cell r="EW311">
            <v>5436.6107000000002</v>
          </cell>
          <cell r="EX311">
            <v>1755</v>
          </cell>
        </row>
        <row r="312">
          <cell r="ES312" t="str">
            <v>789C-2BW7300.00.RI.0 OPERATOR STATION</v>
          </cell>
          <cell r="ET312" t="str">
            <v>789C-2BW</v>
          </cell>
          <cell r="EV312" t="str">
            <v>7300.00.RI.0 OPERATOR STATION</v>
          </cell>
          <cell r="EW312">
            <v>59.421999999999997</v>
          </cell>
          <cell r="EX312">
            <v>65</v>
          </cell>
        </row>
        <row r="313">
          <cell r="ES313" t="str">
            <v>789C-2BW7312.PY.CC.0 OPERATOR SEAT</v>
          </cell>
          <cell r="ET313" t="str">
            <v>789C-2BW</v>
          </cell>
          <cell r="EV313" t="str">
            <v>7312.PY.CC.0 OPERATOR SEAT</v>
          </cell>
          <cell r="EW313">
            <v>3149.96</v>
          </cell>
          <cell r="EX313">
            <v>130</v>
          </cell>
        </row>
        <row r="314">
          <cell r="ES314" t="str">
            <v>789C-2BW7312.SE.CC.0 OPERATOR SEAT</v>
          </cell>
          <cell r="ET314" t="str">
            <v>789C-2BW</v>
          </cell>
          <cell r="EV314" t="str">
            <v>7312.SE.CC.0 OPERATOR SEAT</v>
          </cell>
          <cell r="EW314">
            <v>513.96</v>
          </cell>
          <cell r="EX314">
            <v>97.5</v>
          </cell>
        </row>
        <row r="315">
          <cell r="ES315" t="str">
            <v>789C-2BW7320.00.CO.0 AIR CONDITIONER</v>
          </cell>
          <cell r="ET315" t="str">
            <v>789C-2BW</v>
          </cell>
          <cell r="EV315" t="str">
            <v>7320.00.CO.0 AIR CONDITIONER</v>
          </cell>
          <cell r="EW315">
            <v>2773.8420000000001</v>
          </cell>
          <cell r="EX315">
            <v>1170</v>
          </cell>
        </row>
        <row r="316">
          <cell r="ES316" t="str">
            <v>789C-2BW7320.00.RM.0 AIR CONDITIONER</v>
          </cell>
          <cell r="ET316" t="str">
            <v>789C-2BW</v>
          </cell>
          <cell r="EV316" t="str">
            <v>7320.00.RM.0 AIR CONDITIONER</v>
          </cell>
          <cell r="EW316">
            <v>0</v>
          </cell>
          <cell r="EX316">
            <v>65</v>
          </cell>
        </row>
        <row r="317">
          <cell r="ES317" t="str">
            <v>789C-2BW7320.00.SM.0 AIR CONDITIONER</v>
          </cell>
          <cell r="ET317" t="str">
            <v>789C-2BW</v>
          </cell>
          <cell r="EV317" t="str">
            <v>7320.00.SM.0 AIR CONDITIONER</v>
          </cell>
          <cell r="EW317">
            <v>135.19</v>
          </cell>
          <cell r="EX317">
            <v>260</v>
          </cell>
        </row>
        <row r="318">
          <cell r="ES318" t="str">
            <v>789C-2BW7342.KC.CC.0 CAB AIR FILTER</v>
          </cell>
          <cell r="ET318" t="str">
            <v>789C-2BW</v>
          </cell>
          <cell r="EV318" t="str">
            <v>7342.KC.CC.0 CAB AIR FILTER</v>
          </cell>
          <cell r="EW318">
            <v>50.57</v>
          </cell>
          <cell r="EX318">
            <v>32.5</v>
          </cell>
        </row>
        <row r="319">
          <cell r="ES319" t="str">
            <v>789C-2BW7342.KF.CC.0 CAB AIR FILTER</v>
          </cell>
          <cell r="ET319" t="str">
            <v>789C-2BW</v>
          </cell>
          <cell r="EV319" t="str">
            <v>7342.KF.CC.0 CAB AIR FILTER</v>
          </cell>
          <cell r="EW319">
            <v>36.659999999999997</v>
          </cell>
          <cell r="EX319">
            <v>32.5</v>
          </cell>
        </row>
        <row r="320">
          <cell r="ES320" t="str">
            <v>789C-2BW7400.00.GR.0 PROTECTION DEVICES, ALARMS AND INDICATORS</v>
          </cell>
          <cell r="ET320" t="str">
            <v>789C-2BW</v>
          </cell>
          <cell r="EV320" t="str">
            <v>7400.00.GR.0 PROTECTION DEVICES, ALARMS AND INDICATORS</v>
          </cell>
          <cell r="EW320">
            <v>65.165000000000006</v>
          </cell>
          <cell r="EX320">
            <v>292.5</v>
          </cell>
        </row>
        <row r="321">
          <cell r="ES321" t="str">
            <v>789C-2BW7450.00.GR.0 GAUGES AND INDICATORS</v>
          </cell>
          <cell r="ET321" t="str">
            <v>789C-2BW</v>
          </cell>
          <cell r="EV321" t="str">
            <v>7450.00.GR.0 GAUGES AND INDICATORS</v>
          </cell>
          <cell r="EW321">
            <v>2267.3539999999998</v>
          </cell>
          <cell r="EX321">
            <v>1170</v>
          </cell>
        </row>
        <row r="322">
          <cell r="ES322" t="str">
            <v>789C-2BW7494.00.GR.0 PAYLOAD MONITOR SYSTEM</v>
          </cell>
          <cell r="ET322" t="str">
            <v>789C-2BW</v>
          </cell>
          <cell r="EV322" t="str">
            <v>7494.00.GR.0 PAYLOAD MONITOR SYSTEM</v>
          </cell>
          <cell r="EW322">
            <v>20.2575</v>
          </cell>
          <cell r="EX322">
            <v>1170</v>
          </cell>
        </row>
        <row r="323">
          <cell r="ES323" t="str">
            <v>789C-2BW7494.00.RM.0 PAYLOAD MONITOR SYSTEM</v>
          </cell>
          <cell r="ET323" t="str">
            <v>789C-2BW</v>
          </cell>
          <cell r="EV323" t="str">
            <v>7494.00.RM.0 PAYLOAD MONITOR SYSTEM</v>
          </cell>
          <cell r="EW323">
            <v>0</v>
          </cell>
          <cell r="EX323">
            <v>32.5</v>
          </cell>
        </row>
        <row r="324">
          <cell r="ES324" t="str">
            <v>789C-2BW7510.00.CC.0 GREASE LINES</v>
          </cell>
          <cell r="ET324" t="str">
            <v>789C-2BW</v>
          </cell>
          <cell r="EV324" t="str">
            <v>7510.00.CC.0 GREASE LINES</v>
          </cell>
          <cell r="EW324">
            <v>2400.35</v>
          </cell>
          <cell r="EX324">
            <v>1560</v>
          </cell>
        </row>
        <row r="325">
          <cell r="ES325" t="str">
            <v>789C-2BW7513.00.GR.0 FAST FILL SERVICE CENTER</v>
          </cell>
          <cell r="ET325" t="str">
            <v>789C-2BW</v>
          </cell>
          <cell r="EV325" t="str">
            <v>7513.00.GR.0 FAST FILL SERVICE CENTER</v>
          </cell>
          <cell r="EW325">
            <v>3175.663</v>
          </cell>
          <cell r="EX325">
            <v>390</v>
          </cell>
        </row>
        <row r="326">
          <cell r="ES326" t="str">
            <v>789C-2BW7520.00.IN.0 10 SVC HOUR MAINTENANCE</v>
          </cell>
          <cell r="ET326" t="str">
            <v>789C-2BW</v>
          </cell>
          <cell r="EV326" t="str">
            <v>7520.00.IN.0 10 SVC HOUR MAINTENANCE</v>
          </cell>
          <cell r="EW326">
            <v>0</v>
          </cell>
          <cell r="EX326">
            <v>48.75</v>
          </cell>
        </row>
        <row r="327">
          <cell r="ES327" t="str">
            <v>789C-2BW7524.00.RM.0 250 SVC HOUR MAINTENANCE</v>
          </cell>
          <cell r="ET327" t="str">
            <v>789C-2BW</v>
          </cell>
          <cell r="EV327" t="str">
            <v>7524.00.RM.0 250 SVC HOUR MAINTENANCE</v>
          </cell>
          <cell r="EW327">
            <v>253.5</v>
          </cell>
          <cell r="EX327">
            <v>130</v>
          </cell>
        </row>
        <row r="328">
          <cell r="ES328" t="str">
            <v>789C-2BW7525.00.PM.0 500 SVC HOUR MAINTENANCE</v>
          </cell>
          <cell r="ET328" t="str">
            <v>789C-2BW</v>
          </cell>
          <cell r="EV328" t="str">
            <v>7525.00.PM.0 500 SVC HOUR MAINTENANCE</v>
          </cell>
          <cell r="EW328">
            <v>844.37</v>
          </cell>
          <cell r="EX328">
            <v>390</v>
          </cell>
        </row>
        <row r="329">
          <cell r="ES329" t="str">
            <v>789C-2BW7526.00.PM.0 1000 SVC HOUR MAINTENANCE</v>
          </cell>
          <cell r="ET329" t="str">
            <v>789C-2BW</v>
          </cell>
          <cell r="EV329" t="str">
            <v>7526.00.PM.0 1000 SVC HOUR MAINTENANCE</v>
          </cell>
          <cell r="EW329">
            <v>1380.94</v>
          </cell>
          <cell r="EX329">
            <v>585</v>
          </cell>
        </row>
        <row r="330">
          <cell r="ES330" t="str">
            <v>789C-2BW7527.00.PM.0 2000 SVC HOUR MAINTENANCE</v>
          </cell>
          <cell r="ET330" t="str">
            <v>789C-2BW</v>
          </cell>
          <cell r="EV330" t="str">
            <v>7527.00.PM.0 2000 SVC HOUR MAINTENANCE</v>
          </cell>
          <cell r="EW330">
            <v>1631.5</v>
          </cell>
          <cell r="EX330">
            <v>1040</v>
          </cell>
        </row>
        <row r="331">
          <cell r="ES331" t="str">
            <v>789C-2BW7540.00.GR.0 AUTOMATIC LUBRICATION SYSTEM</v>
          </cell>
          <cell r="ET331" t="str">
            <v>789C-2BW</v>
          </cell>
          <cell r="EV331" t="str">
            <v>7540.00.GR.0 AUTOMATIC LUBRICATION SYSTEM</v>
          </cell>
          <cell r="EW331">
            <v>4641.0555000000004</v>
          </cell>
          <cell r="EX331">
            <v>1170</v>
          </cell>
        </row>
        <row r="332">
          <cell r="ES332" t="str">
            <v>789C-2BW7600.00.GR.0 MACHINE ELECTRONIC CONTROL AND DMS</v>
          </cell>
          <cell r="ET332" t="str">
            <v>789C-2BW</v>
          </cell>
          <cell r="EV332" t="str">
            <v>7600.00.GR.0 MACHINE ELECTRONIC CONTROL AND DMS</v>
          </cell>
          <cell r="EW332">
            <v>3.758</v>
          </cell>
          <cell r="EX332">
            <v>390</v>
          </cell>
        </row>
        <row r="333">
          <cell r="ES333" t="str">
            <v>789C-2BW9074.00.GR.0 MARC STANDBY ELPH</v>
          </cell>
          <cell r="ET333" t="str">
            <v>789C-2BW</v>
          </cell>
          <cell r="EV333" t="str">
            <v>9074.00.GR.0 MARC STANDBY ELPH</v>
          </cell>
          <cell r="EW333">
            <v>0</v>
          </cell>
          <cell r="EX333">
            <v>500</v>
          </cell>
        </row>
        <row r="334">
          <cell r="ES334" t="str">
            <v>789C-2BW9074.DMR.GR.0 MARC STANDBY ELPH</v>
          </cell>
          <cell r="ET334" t="str">
            <v>789C-2BW</v>
          </cell>
          <cell r="EV334" t="str">
            <v>9074.DMR.GR.0 MARC STANDBY ELPH</v>
          </cell>
          <cell r="EW334">
            <v>0</v>
          </cell>
          <cell r="EX334">
            <v>0</v>
          </cell>
        </row>
        <row r="335">
          <cell r="ES335" t="str">
            <v>789C-2BW9074.DWF.GR.0 MARC STANDBY ELPH</v>
          </cell>
          <cell r="ET335" t="str">
            <v>789C-2BW</v>
          </cell>
          <cell r="EV335" t="str">
            <v>9074.DWF.GR.0 MARC STANDBY ELPH</v>
          </cell>
          <cell r="EW335">
            <v>0</v>
          </cell>
          <cell r="EX335">
            <v>0</v>
          </cell>
        </row>
        <row r="336">
          <cell r="ES336" t="str">
            <v>789C-2BW9074.DWP.GR.0 MARC STANDBY ELPH</v>
          </cell>
          <cell r="ET336" t="str">
            <v>789C-2BW</v>
          </cell>
          <cell r="EV336" t="str">
            <v>9074.DWP.GR.0 MARC STANDBY ELPH</v>
          </cell>
          <cell r="EW336">
            <v>0</v>
          </cell>
          <cell r="EX336">
            <v>0</v>
          </cell>
        </row>
        <row r="337">
          <cell r="ES337" t="str">
            <v>789C-2BW9074.UL.GR.0 MARC STANDBY ELPH</v>
          </cell>
          <cell r="ET337" t="str">
            <v>789C-2BW</v>
          </cell>
          <cell r="EV337" t="str">
            <v>9074.UL.GR.0 MARC STANDBY ELPH</v>
          </cell>
          <cell r="EW337">
            <v>0</v>
          </cell>
          <cell r="EX337">
            <v>0</v>
          </cell>
        </row>
        <row r="338">
          <cell r="ES338" t="str">
            <v>789C-2BW9230.00.AC.0 ASA CLAIM</v>
          </cell>
          <cell r="ET338" t="str">
            <v>789C-2BW</v>
          </cell>
          <cell r="EV338" t="str">
            <v>9230.00.AC.0 ASA CLAIM</v>
          </cell>
          <cell r="EW338">
            <v>0</v>
          </cell>
          <cell r="EX338">
            <v>0</v>
          </cell>
        </row>
        <row r="339">
          <cell r="ES339" t="str">
            <v>789C-2BW9402.00.CC.0 FRONT WHEEL OIL</v>
          </cell>
          <cell r="ET339" t="str">
            <v>789C-2BW</v>
          </cell>
          <cell r="EV339" t="str">
            <v>9402.00.CC.0 FRONT WHEEL OIL</v>
          </cell>
          <cell r="EW339">
            <v>0</v>
          </cell>
          <cell r="EX339">
            <v>0</v>
          </cell>
        </row>
        <row r="340">
          <cell r="ES340" t="str">
            <v>789C-2BW9414.00.CC.0 ENGINE OIL</v>
          </cell>
          <cell r="ET340" t="str">
            <v>789C-2BW</v>
          </cell>
          <cell r="EV340" t="str">
            <v>9414.00.CC.0 ENGINE OIL</v>
          </cell>
          <cell r="EW340">
            <v>0</v>
          </cell>
          <cell r="EX340">
            <v>0</v>
          </cell>
        </row>
        <row r="341">
          <cell r="ES341" t="str">
            <v>789C-2BW9415.00.CC.0 TRANS OIL</v>
          </cell>
          <cell r="ET341" t="str">
            <v>789C-2BW</v>
          </cell>
          <cell r="EV341" t="str">
            <v>9415.00.CC.0 TRANS OIL</v>
          </cell>
          <cell r="EW341">
            <v>0</v>
          </cell>
          <cell r="EX341">
            <v>0</v>
          </cell>
        </row>
        <row r="342">
          <cell r="ES342" t="str">
            <v>789C-2BW9416.00.CC.0 STEERING OIL</v>
          </cell>
          <cell r="ET342" t="str">
            <v>789C-2BW</v>
          </cell>
          <cell r="EV342" t="str">
            <v>9416.00.CC.0 STEERING OIL</v>
          </cell>
          <cell r="EW342">
            <v>0</v>
          </cell>
          <cell r="EX342">
            <v>0</v>
          </cell>
        </row>
        <row r="343">
          <cell r="ES343" t="str">
            <v>789C-2BW9417.00.CC.0 DIFF, FINAL DRIVE OIL</v>
          </cell>
          <cell r="ET343" t="str">
            <v>789C-2BW</v>
          </cell>
          <cell r="EV343" t="str">
            <v>9417.00.CC.0 DIFF, FINAL DRIVE OIL</v>
          </cell>
          <cell r="EW343">
            <v>0</v>
          </cell>
          <cell r="EX343">
            <v>0</v>
          </cell>
        </row>
        <row r="344">
          <cell r="ES344" t="str">
            <v>789C-2BW9421.00.CC.0 HYDRAULIC OIL</v>
          </cell>
          <cell r="ET344" t="str">
            <v>789C-2BW</v>
          </cell>
          <cell r="EV344" t="str">
            <v>9421.00.CC.0 HYDRAULIC OIL</v>
          </cell>
          <cell r="EW344">
            <v>0</v>
          </cell>
          <cell r="EX344">
            <v>0</v>
          </cell>
        </row>
        <row r="345">
          <cell r="ES345" t="str">
            <v>789C-2BWZ001.00.UN.0 Engine - Unassigned</v>
          </cell>
          <cell r="ET345" t="str">
            <v>789C-2BW</v>
          </cell>
          <cell r="EV345" t="str">
            <v>Z001.00.UN.0 Engine - Unassigned</v>
          </cell>
          <cell r="EW345">
            <v>184.02226769071001</v>
          </cell>
          <cell r="EX345">
            <v>65</v>
          </cell>
        </row>
        <row r="346">
          <cell r="ES346" t="str">
            <v>789C-2BWZ002.00.UN.0 Fuel System - Unassigned</v>
          </cell>
          <cell r="ET346" t="str">
            <v>789C-2BW</v>
          </cell>
          <cell r="EV346" t="str">
            <v>Z002.00.UN.0 Fuel System - Unassigned</v>
          </cell>
          <cell r="EW346">
            <v>801.15771790209703</v>
          </cell>
          <cell r="EX346">
            <v>65</v>
          </cell>
        </row>
        <row r="347">
          <cell r="ES347" t="str">
            <v>789C-2BWZ003.00.UN.0 Lubrication - Unassigned</v>
          </cell>
          <cell r="ET347" t="str">
            <v>789C-2BW</v>
          </cell>
          <cell r="EV347" t="str">
            <v>Z003.00.UN.0 Lubrication - Unassigned</v>
          </cell>
          <cell r="EW347">
            <v>656.78665706187201</v>
          </cell>
          <cell r="EX347">
            <v>65</v>
          </cell>
        </row>
        <row r="348">
          <cell r="ES348" t="str">
            <v>789C-2BWZ004.00.UN.0 Starting System - Unassigned</v>
          </cell>
          <cell r="ET348" t="str">
            <v>789C-2BW</v>
          </cell>
          <cell r="EV348" t="str">
            <v>Z004.00.UN.0 Starting System - Unassigned</v>
          </cell>
          <cell r="EW348">
            <v>911.97775756114402</v>
          </cell>
          <cell r="EX348">
            <v>65</v>
          </cell>
        </row>
        <row r="349">
          <cell r="ES349" t="str">
            <v>789C-2BWZ005.00.UN.0 Cooling System - Unassigned</v>
          </cell>
          <cell r="ET349" t="str">
            <v>789C-2BW</v>
          </cell>
          <cell r="EV349" t="str">
            <v>Z005.00.UN.0 Cooling System - Unassigned</v>
          </cell>
          <cell r="EW349">
            <v>548.00001262592696</v>
          </cell>
          <cell r="EX349">
            <v>65</v>
          </cell>
        </row>
        <row r="350">
          <cell r="ES350" t="str">
            <v>789C-2BWZ006.00.UN.0 Air Induction AND Exhaust - Unassigned</v>
          </cell>
          <cell r="ET350" t="str">
            <v>789C-2BW</v>
          </cell>
          <cell r="EV350" t="str">
            <v>Z006.00.UN.0 Air Induction AND Exhaust - Unassigned</v>
          </cell>
          <cell r="EW350">
            <v>607.985171707429</v>
          </cell>
          <cell r="EX350">
            <v>65</v>
          </cell>
        </row>
        <row r="351">
          <cell r="ES351" t="str">
            <v>789C-2BWZ007.00.UN.0 Brake System - Unassigned</v>
          </cell>
          <cell r="ET351" t="str">
            <v>789C-2BW</v>
          </cell>
          <cell r="EV351" t="str">
            <v>Z007.00.UN.0 Brake System - Unassigned</v>
          </cell>
          <cell r="EW351">
            <v>241.974031549111</v>
          </cell>
          <cell r="EX351">
            <v>65</v>
          </cell>
        </row>
        <row r="352">
          <cell r="ES352" t="str">
            <v>789C-2BWZ008.00.UN.0 Steering System - Unassigned</v>
          </cell>
          <cell r="ET352" t="str">
            <v>789C-2BW</v>
          </cell>
          <cell r="EV352" t="str">
            <v>Z008.00.UN.0 Steering System - Unassigned</v>
          </cell>
          <cell r="EW352">
            <v>775.74027761332502</v>
          </cell>
          <cell r="EX352">
            <v>65</v>
          </cell>
        </row>
        <row r="353">
          <cell r="ES353" t="str">
            <v>789C-2BWZ009.00.UN.0 Power Train - Unassigned</v>
          </cell>
          <cell r="ET353" t="str">
            <v>789C-2BW</v>
          </cell>
          <cell r="EV353" t="str">
            <v>Z009.00.UN.0 Power Train - Unassigned</v>
          </cell>
          <cell r="EW353">
            <v>636.45270483085403</v>
          </cell>
          <cell r="EX353">
            <v>65</v>
          </cell>
        </row>
        <row r="354">
          <cell r="ES354" t="str">
            <v>789C-2BWZ010.00.UN.0 Drive Train - Unassigned</v>
          </cell>
          <cell r="ET354" t="str">
            <v>789C-2BW</v>
          </cell>
          <cell r="EV354" t="str">
            <v>Z010.00.UN.0 Drive Train - Unassigned</v>
          </cell>
          <cell r="EW354">
            <v>0</v>
          </cell>
          <cell r="EX354">
            <v>0</v>
          </cell>
        </row>
        <row r="355">
          <cell r="ES355" t="str">
            <v>789C-2BWZ012.00.UN.0 Wheels AND Tyres - Unassigned</v>
          </cell>
          <cell r="ET355" t="str">
            <v>789C-2BW</v>
          </cell>
          <cell r="EV355" t="str">
            <v>Z012.00.UN.0 Wheels AND Tyres - Unassigned</v>
          </cell>
          <cell r="EW355">
            <v>0</v>
          </cell>
          <cell r="EX355">
            <v>0</v>
          </cell>
        </row>
        <row r="356">
          <cell r="ES356" t="str">
            <v>789C-2BWZ013.00.UN.0 Electrical System - Unassigned</v>
          </cell>
          <cell r="ET356" t="str">
            <v>789C-2BW</v>
          </cell>
          <cell r="EV356" t="str">
            <v>Z013.00.UN.0 Electrical System - Unassigned</v>
          </cell>
          <cell r="EW356">
            <v>777.77367283642695</v>
          </cell>
          <cell r="EX356">
            <v>65</v>
          </cell>
        </row>
        <row r="357">
          <cell r="ES357" t="str">
            <v>789C-2BWZ014.00.UN.0 Hydraulic Pumps and Motors - Unassigned</v>
          </cell>
          <cell r="ET357" t="str">
            <v>789C-2BW</v>
          </cell>
          <cell r="EV357" t="str">
            <v>Z014.00.UN.0 Hydraulic Pumps and Motors - Unassigned</v>
          </cell>
          <cell r="EW357">
            <v>0</v>
          </cell>
          <cell r="EX357">
            <v>0</v>
          </cell>
        </row>
        <row r="358">
          <cell r="ES358" t="str">
            <v>789C-2BWZ015.00.UN.0 Hydraulic System - Unassigned</v>
          </cell>
          <cell r="ET358" t="str">
            <v>789C-2BW</v>
          </cell>
          <cell r="EV358" t="str">
            <v>Z015.00.UN.0 Hydraulic System - Unassigned</v>
          </cell>
          <cell r="EW358">
            <v>431.07978729757502</v>
          </cell>
          <cell r="EX358">
            <v>65</v>
          </cell>
        </row>
        <row r="359">
          <cell r="ES359" t="str">
            <v>789C-2BWZ016.00.UN.0 Hydraulic Cylinders - Unassigned</v>
          </cell>
          <cell r="ET359" t="str">
            <v>789C-2BW</v>
          </cell>
          <cell r="EV359" t="str">
            <v>Z016.00.UN.0 Hydraulic Cylinders - Unassigned</v>
          </cell>
          <cell r="EW359">
            <v>0</v>
          </cell>
          <cell r="EX359">
            <v>0</v>
          </cell>
        </row>
        <row r="360">
          <cell r="ES360" t="str">
            <v>789C-2BWZ017.00.UN.0 Implements - Unassigned</v>
          </cell>
          <cell r="ET360" t="str">
            <v>789C-2BW</v>
          </cell>
          <cell r="EV360" t="str">
            <v>Z017.00.UN.0 Implements - Unassigned</v>
          </cell>
          <cell r="EW360">
            <v>0</v>
          </cell>
          <cell r="EX360">
            <v>0</v>
          </cell>
        </row>
        <row r="361">
          <cell r="ES361" t="str">
            <v>789C-2BWZ019.00.UN.0 Cab/Operator Station - Unassigned</v>
          </cell>
          <cell r="ET361" t="str">
            <v>789C-2BW</v>
          </cell>
          <cell r="EV361" t="str">
            <v>Z019.00.UN.0 Cab/Operator Station - Unassigned</v>
          </cell>
          <cell r="EW361">
            <v>617.13545021138702</v>
          </cell>
          <cell r="EX361">
            <v>65</v>
          </cell>
        </row>
        <row r="362">
          <cell r="ES362" t="str">
            <v>789C-2BWZ020.00.UN.0 Structures (Frame - Chassis) - Unassigned</v>
          </cell>
          <cell r="ET362" t="str">
            <v>789C-2BW</v>
          </cell>
          <cell r="EV362" t="str">
            <v>Z020.00.UN.0 Structures (Frame - Chassis) - Unassigned</v>
          </cell>
          <cell r="EW362">
            <v>0</v>
          </cell>
          <cell r="EX362">
            <v>0</v>
          </cell>
        </row>
        <row r="363">
          <cell r="ES363" t="str">
            <v>789C-2BWZ021.00.UN.0 Suspension - Unassigned</v>
          </cell>
          <cell r="ET363" t="str">
            <v>789C-2BW</v>
          </cell>
          <cell r="EV363" t="str">
            <v>Z021.00.UN.0 Suspension - Unassigned</v>
          </cell>
          <cell r="EW363">
            <v>483.94806309822098</v>
          </cell>
          <cell r="EX363">
            <v>65</v>
          </cell>
        </row>
        <row r="364">
          <cell r="ES364" t="str">
            <v>789C-2BWZ022.00.UN.0 Machine - Unassigned</v>
          </cell>
          <cell r="ET364" t="str">
            <v>789C-2BW</v>
          </cell>
          <cell r="EV364" t="str">
            <v>Z022.00.UN.0 Machine - Unassigned</v>
          </cell>
          <cell r="EW364">
            <v>527.66606039490898</v>
          </cell>
          <cell r="EX364">
            <v>65</v>
          </cell>
        </row>
        <row r="365">
          <cell r="ES365" t="str">
            <v>789C-2BWZ023.00.UN.0 Protection AND Mgmt Systems - Unassigned</v>
          </cell>
          <cell r="ET365" t="str">
            <v>789C-2BW</v>
          </cell>
          <cell r="EV365" t="str">
            <v>Z023.00.UN.0 Protection AND Mgmt Systems - Unassigned</v>
          </cell>
          <cell r="EW365">
            <v>0</v>
          </cell>
          <cell r="EX365">
            <v>0</v>
          </cell>
        </row>
        <row r="366">
          <cell r="ES366" t="str">
            <v>789C-2BWZ024.00.UN.0 PM - Unassigned</v>
          </cell>
          <cell r="ET366" t="str">
            <v>789C-2BW</v>
          </cell>
          <cell r="EV366" t="str">
            <v>Z024.00.UN.0 PM - Unassigned</v>
          </cell>
          <cell r="EW366">
            <v>0</v>
          </cell>
          <cell r="EX366">
            <v>0</v>
          </cell>
        </row>
        <row r="367">
          <cell r="ES367" t="str">
            <v>789C-2BWZ025.00.UN.0 Other Services - Unassigned</v>
          </cell>
          <cell r="ET367" t="str">
            <v>789C-2BW</v>
          </cell>
          <cell r="EV367" t="str">
            <v>Z025.00.UN.0 Other Services - Unassigned</v>
          </cell>
          <cell r="EW367">
            <v>0</v>
          </cell>
          <cell r="EX367">
            <v>0</v>
          </cell>
        </row>
        <row r="368">
          <cell r="ES368" t="str">
            <v>789C-2BWZ026.00.UN.0 Other - Unassigned</v>
          </cell>
          <cell r="ET368" t="str">
            <v>789C-2BW</v>
          </cell>
          <cell r="EV368" t="str">
            <v>Z026.00.UN.0 Other - Unassigned</v>
          </cell>
          <cell r="EW368">
            <v>183.00557007915901</v>
          </cell>
          <cell r="EX368">
            <v>65</v>
          </cell>
        </row>
        <row r="369">
          <cell r="ES369" t="str">
            <v>789C-2BWZ027.00.UN.0 Marine - Unassigned</v>
          </cell>
          <cell r="ET369" t="str">
            <v>789C-2BW</v>
          </cell>
          <cell r="EV369" t="str">
            <v>Z027.00.UN.0 Marine - Unassigned</v>
          </cell>
          <cell r="EW369">
            <v>0</v>
          </cell>
          <cell r="EX369">
            <v>0</v>
          </cell>
        </row>
        <row r="370">
          <cell r="ES370"/>
        </row>
        <row r="371">
          <cell r="ES371"/>
        </row>
        <row r="372">
          <cell r="ES372"/>
        </row>
        <row r="373">
          <cell r="ES373"/>
        </row>
        <row r="374">
          <cell r="ES374"/>
        </row>
        <row r="375">
          <cell r="ES375"/>
        </row>
        <row r="376">
          <cell r="ES376"/>
        </row>
        <row r="377">
          <cell r="ES377"/>
        </row>
        <row r="378">
          <cell r="ES378"/>
        </row>
        <row r="379">
          <cell r="ES379"/>
        </row>
        <row r="380">
          <cell r="ES380"/>
        </row>
        <row r="381">
          <cell r="ES381"/>
        </row>
        <row r="382">
          <cell r="ES382"/>
        </row>
        <row r="383">
          <cell r="ES383"/>
        </row>
        <row r="384">
          <cell r="ES384"/>
        </row>
        <row r="385">
          <cell r="ES385"/>
        </row>
        <row r="386">
          <cell r="ES386"/>
        </row>
        <row r="387">
          <cell r="ES387"/>
        </row>
        <row r="388">
          <cell r="ES388"/>
        </row>
        <row r="389">
          <cell r="ES389"/>
        </row>
        <row r="390">
          <cell r="ES390"/>
        </row>
        <row r="391">
          <cell r="ES391"/>
        </row>
        <row r="392">
          <cell r="ES392"/>
        </row>
        <row r="393">
          <cell r="ES393"/>
        </row>
        <row r="394">
          <cell r="ES394"/>
        </row>
        <row r="395">
          <cell r="ES395"/>
        </row>
        <row r="396">
          <cell r="ES396"/>
        </row>
        <row r="397">
          <cell r="ES397"/>
        </row>
        <row r="398">
          <cell r="ES398"/>
        </row>
        <row r="399">
          <cell r="ES399"/>
        </row>
        <row r="400">
          <cell r="ES400"/>
        </row>
        <row r="401">
          <cell r="ES401"/>
        </row>
        <row r="402">
          <cell r="ES402"/>
        </row>
        <row r="403">
          <cell r="ES403"/>
        </row>
        <row r="404">
          <cell r="ES404"/>
        </row>
        <row r="405">
          <cell r="ES405"/>
        </row>
        <row r="406">
          <cell r="ES406"/>
        </row>
        <row r="407">
          <cell r="ES407"/>
        </row>
        <row r="408">
          <cell r="ES408"/>
        </row>
        <row r="409">
          <cell r="ES409"/>
        </row>
        <row r="410">
          <cell r="ES410"/>
        </row>
        <row r="411">
          <cell r="ES411"/>
        </row>
        <row r="412">
          <cell r="ES412"/>
        </row>
        <row r="413">
          <cell r="ES413"/>
        </row>
        <row r="414">
          <cell r="ES414"/>
        </row>
        <row r="415">
          <cell r="ES415"/>
        </row>
        <row r="416">
          <cell r="ES416"/>
        </row>
        <row r="417">
          <cell r="ES417"/>
        </row>
        <row r="418">
          <cell r="ES418"/>
        </row>
        <row r="419">
          <cell r="ES419"/>
        </row>
        <row r="420">
          <cell r="ES420"/>
        </row>
        <row r="421">
          <cell r="ES421"/>
        </row>
        <row r="422">
          <cell r="ES422"/>
        </row>
        <row r="423">
          <cell r="ES423"/>
        </row>
        <row r="424">
          <cell r="ES424"/>
        </row>
        <row r="425">
          <cell r="ES425"/>
        </row>
        <row r="426">
          <cell r="ES426"/>
        </row>
        <row r="427">
          <cell r="ES427"/>
        </row>
        <row r="428">
          <cell r="ES428"/>
        </row>
        <row r="429">
          <cell r="ES429"/>
        </row>
        <row r="430">
          <cell r="ES430"/>
        </row>
        <row r="431">
          <cell r="ES431"/>
        </row>
        <row r="432">
          <cell r="ES432"/>
        </row>
        <row r="433">
          <cell r="ES433"/>
        </row>
        <row r="434">
          <cell r="ES434"/>
        </row>
        <row r="435">
          <cell r="ES435"/>
        </row>
        <row r="436">
          <cell r="ES436"/>
        </row>
        <row r="437">
          <cell r="ES437"/>
        </row>
        <row r="438">
          <cell r="ES438"/>
        </row>
        <row r="439">
          <cell r="ES439"/>
        </row>
        <row r="440">
          <cell r="ES440"/>
        </row>
        <row r="441">
          <cell r="ES441"/>
        </row>
        <row r="442">
          <cell r="ES442"/>
        </row>
        <row r="443">
          <cell r="ES443"/>
        </row>
        <row r="444">
          <cell r="ES444"/>
        </row>
        <row r="445">
          <cell r="ES445"/>
        </row>
        <row r="446">
          <cell r="ES446"/>
        </row>
        <row r="447">
          <cell r="ES447"/>
        </row>
        <row r="448">
          <cell r="ES448"/>
        </row>
        <row r="449">
          <cell r="ES449"/>
        </row>
        <row r="450">
          <cell r="ES450"/>
        </row>
        <row r="451">
          <cell r="ES451"/>
        </row>
        <row r="452">
          <cell r="ES452"/>
        </row>
        <row r="453">
          <cell r="ES453"/>
        </row>
        <row r="454">
          <cell r="ES454"/>
        </row>
        <row r="455">
          <cell r="ES455"/>
        </row>
        <row r="456">
          <cell r="ES456"/>
        </row>
        <row r="457">
          <cell r="ES457"/>
        </row>
        <row r="458">
          <cell r="ES458"/>
        </row>
        <row r="459">
          <cell r="ES459"/>
        </row>
        <row r="460">
          <cell r="ES460"/>
        </row>
        <row r="461">
          <cell r="ES461"/>
        </row>
        <row r="462">
          <cell r="ES462"/>
        </row>
        <row r="463">
          <cell r="ES463"/>
        </row>
        <row r="464">
          <cell r="ES464"/>
        </row>
        <row r="465">
          <cell r="ES465"/>
        </row>
        <row r="466">
          <cell r="ES466"/>
        </row>
        <row r="467">
          <cell r="ES467"/>
        </row>
        <row r="468">
          <cell r="ES468"/>
        </row>
        <row r="469">
          <cell r="ES469"/>
        </row>
        <row r="470">
          <cell r="ES470"/>
        </row>
        <row r="471">
          <cell r="ES471"/>
        </row>
        <row r="472">
          <cell r="ES472"/>
        </row>
        <row r="473">
          <cell r="ES473"/>
        </row>
        <row r="474">
          <cell r="ES474"/>
        </row>
        <row r="475">
          <cell r="ES475"/>
        </row>
        <row r="476">
          <cell r="ES476"/>
        </row>
        <row r="477">
          <cell r="ES477"/>
        </row>
        <row r="478">
          <cell r="ES478"/>
        </row>
        <row r="479">
          <cell r="ES479"/>
        </row>
        <row r="480">
          <cell r="ES480"/>
        </row>
        <row r="481">
          <cell r="ES481"/>
        </row>
        <row r="482">
          <cell r="ES482"/>
        </row>
        <row r="483">
          <cell r="ES483"/>
        </row>
        <row r="484">
          <cell r="ES484"/>
        </row>
        <row r="485">
          <cell r="ES485"/>
        </row>
        <row r="486">
          <cell r="ES486"/>
        </row>
        <row r="487">
          <cell r="ES487"/>
        </row>
        <row r="488">
          <cell r="ES488"/>
        </row>
        <row r="489">
          <cell r="ES489"/>
        </row>
        <row r="490">
          <cell r="ES490"/>
        </row>
        <row r="491">
          <cell r="ES491"/>
        </row>
        <row r="492">
          <cell r="ES492"/>
        </row>
        <row r="493">
          <cell r="ES493"/>
        </row>
        <row r="494">
          <cell r="ES494"/>
        </row>
        <row r="495">
          <cell r="ES495"/>
        </row>
        <row r="496">
          <cell r="ES496"/>
        </row>
        <row r="497">
          <cell r="ES497"/>
        </row>
        <row r="498">
          <cell r="ES498"/>
        </row>
        <row r="499">
          <cell r="ES499"/>
        </row>
        <row r="500">
          <cell r="ES500"/>
        </row>
        <row r="501">
          <cell r="ES501"/>
        </row>
        <row r="502">
          <cell r="ES502"/>
        </row>
        <row r="503">
          <cell r="ES503"/>
        </row>
        <row r="504">
          <cell r="ES504"/>
        </row>
        <row r="505">
          <cell r="ES505"/>
        </row>
        <row r="506">
          <cell r="ES506"/>
        </row>
        <row r="507">
          <cell r="ES507"/>
        </row>
        <row r="508">
          <cell r="ES508"/>
        </row>
        <row r="509">
          <cell r="ES509"/>
        </row>
        <row r="510">
          <cell r="ES510"/>
        </row>
        <row r="511">
          <cell r="ES511"/>
        </row>
        <row r="512">
          <cell r="ES512"/>
        </row>
        <row r="513">
          <cell r="ES513"/>
        </row>
        <row r="514">
          <cell r="ES514"/>
        </row>
        <row r="515">
          <cell r="ES515"/>
        </row>
        <row r="516">
          <cell r="ES516"/>
        </row>
        <row r="517">
          <cell r="ES517"/>
        </row>
        <row r="518">
          <cell r="ES518"/>
        </row>
        <row r="519">
          <cell r="ES519"/>
        </row>
        <row r="520">
          <cell r="ES520"/>
        </row>
        <row r="521">
          <cell r="ES521"/>
        </row>
        <row r="522">
          <cell r="ES522"/>
        </row>
        <row r="523">
          <cell r="ES523"/>
        </row>
        <row r="524">
          <cell r="ES524"/>
        </row>
        <row r="525">
          <cell r="ES525"/>
        </row>
        <row r="526">
          <cell r="ES526"/>
        </row>
        <row r="527">
          <cell r="ES527"/>
        </row>
        <row r="528">
          <cell r="ES528"/>
        </row>
        <row r="529">
          <cell r="ES529"/>
        </row>
        <row r="530">
          <cell r="ES530"/>
        </row>
        <row r="531">
          <cell r="ES531"/>
        </row>
        <row r="532">
          <cell r="ES532"/>
        </row>
        <row r="533">
          <cell r="ES533"/>
        </row>
        <row r="534">
          <cell r="ES534"/>
        </row>
        <row r="535">
          <cell r="ES535"/>
        </row>
        <row r="536">
          <cell r="ES536"/>
        </row>
        <row r="537">
          <cell r="ES537"/>
        </row>
        <row r="538">
          <cell r="ES538"/>
        </row>
        <row r="539">
          <cell r="ES539"/>
        </row>
        <row r="540">
          <cell r="ES540"/>
        </row>
        <row r="541">
          <cell r="ES541"/>
        </row>
        <row r="542">
          <cell r="ES542"/>
        </row>
        <row r="543">
          <cell r="ES543"/>
        </row>
        <row r="544">
          <cell r="ES544"/>
        </row>
        <row r="545">
          <cell r="ES545"/>
        </row>
        <row r="546">
          <cell r="ES546"/>
        </row>
        <row r="547">
          <cell r="ES547"/>
        </row>
        <row r="548">
          <cell r="ES548"/>
        </row>
        <row r="549">
          <cell r="ES549"/>
        </row>
        <row r="550">
          <cell r="ES550"/>
        </row>
        <row r="551">
          <cell r="ES551"/>
        </row>
        <row r="552">
          <cell r="ES552"/>
        </row>
        <row r="553">
          <cell r="ES553"/>
        </row>
        <row r="554">
          <cell r="ES554"/>
        </row>
        <row r="555">
          <cell r="ES555"/>
        </row>
        <row r="556">
          <cell r="ES556"/>
        </row>
        <row r="557">
          <cell r="ES557"/>
        </row>
        <row r="558">
          <cell r="ES558"/>
        </row>
        <row r="559">
          <cell r="ES559"/>
        </row>
        <row r="560">
          <cell r="ES560"/>
        </row>
        <row r="561">
          <cell r="ES561"/>
        </row>
        <row r="562">
          <cell r="ES562"/>
        </row>
        <row r="563">
          <cell r="ES563"/>
        </row>
        <row r="564">
          <cell r="ES564"/>
        </row>
        <row r="565">
          <cell r="ES565"/>
        </row>
        <row r="566">
          <cell r="ES566"/>
        </row>
        <row r="567">
          <cell r="ES567"/>
        </row>
        <row r="568">
          <cell r="ES568"/>
        </row>
        <row r="569">
          <cell r="ES569"/>
        </row>
        <row r="570">
          <cell r="ES570"/>
        </row>
        <row r="571">
          <cell r="ES571"/>
        </row>
        <row r="572">
          <cell r="ES572"/>
        </row>
        <row r="573">
          <cell r="ES573"/>
        </row>
        <row r="574">
          <cell r="ES574"/>
        </row>
        <row r="575">
          <cell r="ES575"/>
        </row>
        <row r="576">
          <cell r="ES576"/>
        </row>
        <row r="577">
          <cell r="ES577"/>
        </row>
        <row r="578">
          <cell r="ES578"/>
        </row>
        <row r="579">
          <cell r="ES579"/>
        </row>
        <row r="580">
          <cell r="ES580"/>
        </row>
        <row r="581">
          <cell r="ES581"/>
        </row>
        <row r="582">
          <cell r="ES582"/>
        </row>
        <row r="583">
          <cell r="ES583"/>
        </row>
        <row r="584">
          <cell r="ES584"/>
        </row>
        <row r="585">
          <cell r="ES585"/>
        </row>
        <row r="586">
          <cell r="ES586"/>
        </row>
        <row r="587">
          <cell r="ES587"/>
        </row>
        <row r="588">
          <cell r="ES588"/>
        </row>
        <row r="589">
          <cell r="ES589"/>
        </row>
        <row r="590">
          <cell r="ES590"/>
        </row>
        <row r="591">
          <cell r="ES591"/>
        </row>
        <row r="592">
          <cell r="ES592"/>
        </row>
        <row r="593">
          <cell r="ES593"/>
        </row>
        <row r="594">
          <cell r="ES594"/>
        </row>
        <row r="595">
          <cell r="ES595"/>
        </row>
        <row r="596">
          <cell r="ES596"/>
        </row>
        <row r="597">
          <cell r="ES597"/>
        </row>
        <row r="598">
          <cell r="ES598"/>
        </row>
        <row r="599">
          <cell r="ES599"/>
        </row>
        <row r="600">
          <cell r="ES600"/>
        </row>
        <row r="601">
          <cell r="ES601"/>
        </row>
        <row r="602">
          <cell r="ES602"/>
        </row>
        <row r="603">
          <cell r="ES603"/>
        </row>
        <row r="604">
          <cell r="ES604"/>
        </row>
        <row r="605">
          <cell r="ES605"/>
        </row>
        <row r="606">
          <cell r="ES606"/>
        </row>
        <row r="607">
          <cell r="ES607"/>
        </row>
        <row r="608">
          <cell r="ES608"/>
        </row>
        <row r="609">
          <cell r="ES609"/>
        </row>
        <row r="610">
          <cell r="ES610"/>
        </row>
        <row r="611">
          <cell r="ES611"/>
        </row>
        <row r="612">
          <cell r="ES612"/>
        </row>
        <row r="613">
          <cell r="ES613"/>
        </row>
        <row r="614">
          <cell r="ES614"/>
        </row>
        <row r="615">
          <cell r="ES615"/>
        </row>
        <row r="616">
          <cell r="ES616"/>
        </row>
        <row r="617">
          <cell r="ES617"/>
        </row>
        <row r="618">
          <cell r="ES618"/>
        </row>
        <row r="619">
          <cell r="ES619"/>
        </row>
        <row r="620">
          <cell r="ES620"/>
        </row>
        <row r="621">
          <cell r="ES621"/>
        </row>
        <row r="622">
          <cell r="ES622"/>
        </row>
        <row r="623">
          <cell r="ES623"/>
        </row>
        <row r="624">
          <cell r="ES624"/>
        </row>
        <row r="625">
          <cell r="ES625"/>
        </row>
        <row r="626">
          <cell r="ES626"/>
        </row>
        <row r="627">
          <cell r="ES627"/>
        </row>
        <row r="628">
          <cell r="ES628"/>
        </row>
        <row r="629">
          <cell r="ES629"/>
        </row>
        <row r="630">
          <cell r="ES630"/>
        </row>
        <row r="631">
          <cell r="ES631"/>
        </row>
        <row r="632">
          <cell r="ES632"/>
        </row>
        <row r="633">
          <cell r="ES633"/>
        </row>
        <row r="634">
          <cell r="ES634"/>
        </row>
        <row r="635">
          <cell r="ES635"/>
        </row>
        <row r="636">
          <cell r="ES636"/>
        </row>
        <row r="637">
          <cell r="ES637"/>
        </row>
        <row r="638">
          <cell r="ES638"/>
        </row>
        <row r="639">
          <cell r="ES639"/>
        </row>
        <row r="640">
          <cell r="ES640"/>
        </row>
        <row r="641">
          <cell r="ES641"/>
        </row>
        <row r="642">
          <cell r="ES642"/>
        </row>
        <row r="643">
          <cell r="ES643"/>
        </row>
        <row r="644">
          <cell r="ES644"/>
        </row>
        <row r="645">
          <cell r="ES645"/>
        </row>
        <row r="646">
          <cell r="ES646"/>
        </row>
        <row r="647">
          <cell r="ES647"/>
        </row>
        <row r="648">
          <cell r="ES648"/>
        </row>
        <row r="649">
          <cell r="ES649"/>
        </row>
        <row r="650">
          <cell r="ES650"/>
        </row>
        <row r="651">
          <cell r="ES651"/>
        </row>
        <row r="652">
          <cell r="ES652"/>
        </row>
        <row r="653">
          <cell r="ES653"/>
        </row>
        <row r="654">
          <cell r="ES654"/>
        </row>
        <row r="655">
          <cell r="ES655"/>
        </row>
        <row r="656">
          <cell r="ES656"/>
        </row>
        <row r="657">
          <cell r="ES657"/>
        </row>
        <row r="658">
          <cell r="ES658"/>
        </row>
        <row r="659">
          <cell r="ES659"/>
        </row>
        <row r="660">
          <cell r="ES660"/>
        </row>
        <row r="661">
          <cell r="ES661"/>
        </row>
        <row r="662">
          <cell r="ES662"/>
        </row>
        <row r="663">
          <cell r="ES663"/>
        </row>
        <row r="664">
          <cell r="ES664"/>
        </row>
        <row r="665">
          <cell r="ES665"/>
        </row>
        <row r="666">
          <cell r="ES666"/>
        </row>
        <row r="667">
          <cell r="ES667"/>
        </row>
        <row r="668">
          <cell r="ES668"/>
        </row>
        <row r="669">
          <cell r="ES669"/>
        </row>
        <row r="670">
          <cell r="ES670"/>
        </row>
        <row r="671">
          <cell r="ES671"/>
        </row>
        <row r="672">
          <cell r="ES672"/>
        </row>
        <row r="673">
          <cell r="ES673"/>
        </row>
        <row r="674">
          <cell r="ES674"/>
        </row>
        <row r="675">
          <cell r="ES675"/>
        </row>
        <row r="676">
          <cell r="ES676"/>
        </row>
        <row r="677">
          <cell r="ES677"/>
        </row>
        <row r="678">
          <cell r="ES678"/>
        </row>
        <row r="679">
          <cell r="ES679"/>
        </row>
        <row r="680">
          <cell r="ES680"/>
        </row>
        <row r="681">
          <cell r="ES681"/>
        </row>
        <row r="682">
          <cell r="ES682"/>
        </row>
        <row r="683">
          <cell r="ES683"/>
        </row>
        <row r="684">
          <cell r="ES684"/>
        </row>
        <row r="685">
          <cell r="ES685"/>
        </row>
        <row r="686">
          <cell r="ES686"/>
        </row>
        <row r="687">
          <cell r="ES687"/>
        </row>
        <row r="688">
          <cell r="ES688"/>
        </row>
        <row r="689">
          <cell r="ES689"/>
        </row>
        <row r="690">
          <cell r="ES690"/>
        </row>
        <row r="691">
          <cell r="ES691"/>
        </row>
        <row r="692">
          <cell r="ES692"/>
        </row>
        <row r="693">
          <cell r="ES693"/>
        </row>
        <row r="694">
          <cell r="ES694"/>
        </row>
        <row r="695">
          <cell r="ES695"/>
        </row>
        <row r="696">
          <cell r="ES696"/>
        </row>
        <row r="697">
          <cell r="ES697"/>
        </row>
        <row r="698">
          <cell r="ES698"/>
        </row>
        <row r="699">
          <cell r="ES699"/>
        </row>
        <row r="700">
          <cell r="ES700"/>
        </row>
        <row r="701">
          <cell r="ES701"/>
        </row>
        <row r="702">
          <cell r="ES702"/>
        </row>
        <row r="703">
          <cell r="ES703"/>
        </row>
        <row r="704">
          <cell r="ES704"/>
        </row>
        <row r="705">
          <cell r="ES705"/>
        </row>
        <row r="706">
          <cell r="ES706"/>
        </row>
        <row r="707">
          <cell r="ES707"/>
        </row>
        <row r="708">
          <cell r="ES708"/>
        </row>
        <row r="709">
          <cell r="ES709"/>
        </row>
        <row r="710">
          <cell r="ES710"/>
        </row>
        <row r="711">
          <cell r="ES711"/>
        </row>
        <row r="712">
          <cell r="ES712"/>
        </row>
        <row r="713">
          <cell r="ES713"/>
        </row>
        <row r="714">
          <cell r="ES714"/>
        </row>
        <row r="715">
          <cell r="ES715"/>
        </row>
        <row r="716">
          <cell r="ES716"/>
        </row>
        <row r="717">
          <cell r="ES717"/>
        </row>
        <row r="718">
          <cell r="ES718"/>
        </row>
        <row r="719">
          <cell r="ES719"/>
        </row>
        <row r="720">
          <cell r="ES720"/>
        </row>
        <row r="721">
          <cell r="ES721"/>
        </row>
        <row r="722">
          <cell r="ES722"/>
        </row>
        <row r="723">
          <cell r="ES723"/>
        </row>
        <row r="724">
          <cell r="ES724"/>
        </row>
        <row r="725">
          <cell r="ES725"/>
        </row>
        <row r="726">
          <cell r="ES726"/>
        </row>
        <row r="727">
          <cell r="ES727"/>
        </row>
        <row r="728">
          <cell r="ES728"/>
        </row>
        <row r="729">
          <cell r="ES729"/>
        </row>
        <row r="730">
          <cell r="ES730"/>
        </row>
        <row r="731">
          <cell r="ES731"/>
        </row>
        <row r="732">
          <cell r="ES732"/>
        </row>
        <row r="733">
          <cell r="ES733"/>
        </row>
        <row r="734">
          <cell r="ES734"/>
        </row>
        <row r="735">
          <cell r="ES735"/>
        </row>
        <row r="736">
          <cell r="ES736"/>
        </row>
        <row r="737">
          <cell r="ES737"/>
        </row>
        <row r="738">
          <cell r="ES738"/>
        </row>
        <row r="739">
          <cell r="ES739"/>
        </row>
        <row r="740">
          <cell r="ES740"/>
        </row>
        <row r="741">
          <cell r="ES741"/>
        </row>
        <row r="742">
          <cell r="ES742"/>
        </row>
        <row r="743">
          <cell r="ES743"/>
        </row>
        <row r="744">
          <cell r="ES744"/>
        </row>
        <row r="745">
          <cell r="ES745"/>
        </row>
        <row r="746">
          <cell r="ES746"/>
        </row>
        <row r="747">
          <cell r="ES747"/>
        </row>
        <row r="748">
          <cell r="ES748"/>
        </row>
        <row r="749">
          <cell r="ES749"/>
        </row>
        <row r="750">
          <cell r="ES750"/>
        </row>
        <row r="751">
          <cell r="ES751"/>
        </row>
        <row r="752">
          <cell r="ES752"/>
        </row>
        <row r="753">
          <cell r="ES753"/>
        </row>
        <row r="754">
          <cell r="ES754"/>
        </row>
        <row r="755">
          <cell r="ES755"/>
        </row>
        <row r="756">
          <cell r="ES756"/>
        </row>
        <row r="757">
          <cell r="ES757"/>
        </row>
        <row r="758">
          <cell r="ES758"/>
        </row>
        <row r="759">
          <cell r="ES759"/>
        </row>
        <row r="760">
          <cell r="ES760"/>
        </row>
        <row r="761">
          <cell r="ES761"/>
        </row>
        <row r="762">
          <cell r="ES762"/>
        </row>
        <row r="763">
          <cell r="ES763"/>
        </row>
        <row r="764">
          <cell r="ES764"/>
        </row>
        <row r="765">
          <cell r="ES765"/>
        </row>
        <row r="766">
          <cell r="ES766"/>
        </row>
        <row r="767">
          <cell r="ES767"/>
        </row>
        <row r="768">
          <cell r="ES768"/>
        </row>
        <row r="769">
          <cell r="ES769"/>
        </row>
        <row r="770">
          <cell r="ES770"/>
        </row>
        <row r="771">
          <cell r="ES771"/>
        </row>
        <row r="772">
          <cell r="ES772"/>
        </row>
        <row r="773">
          <cell r="ES773"/>
        </row>
        <row r="774">
          <cell r="ES774"/>
        </row>
        <row r="775">
          <cell r="ES775"/>
        </row>
        <row r="776">
          <cell r="ES776"/>
        </row>
        <row r="777">
          <cell r="ES777"/>
        </row>
        <row r="778">
          <cell r="ES778"/>
        </row>
        <row r="779">
          <cell r="ES779"/>
        </row>
        <row r="780">
          <cell r="ES780"/>
        </row>
        <row r="781">
          <cell r="ES781"/>
        </row>
        <row r="782">
          <cell r="ES782"/>
        </row>
        <row r="783">
          <cell r="ES783"/>
        </row>
        <row r="784">
          <cell r="ES784"/>
        </row>
        <row r="785">
          <cell r="ES785"/>
        </row>
        <row r="786">
          <cell r="ES786"/>
        </row>
        <row r="787">
          <cell r="ES787"/>
        </row>
        <row r="788">
          <cell r="ES788"/>
        </row>
        <row r="789">
          <cell r="ES789"/>
        </row>
        <row r="790">
          <cell r="ES790"/>
        </row>
        <row r="791">
          <cell r="ES791"/>
        </row>
        <row r="792">
          <cell r="ES792"/>
        </row>
        <row r="793">
          <cell r="ES793"/>
        </row>
        <row r="794">
          <cell r="ES794"/>
        </row>
        <row r="795">
          <cell r="ES795"/>
        </row>
        <row r="796">
          <cell r="ES796"/>
        </row>
        <row r="797">
          <cell r="ES797"/>
        </row>
        <row r="798">
          <cell r="ES798"/>
        </row>
        <row r="799">
          <cell r="ES799"/>
        </row>
        <row r="800">
          <cell r="ES800"/>
        </row>
        <row r="801">
          <cell r="ES801"/>
        </row>
        <row r="802">
          <cell r="ES802"/>
        </row>
        <row r="803">
          <cell r="ES803"/>
        </row>
        <row r="804">
          <cell r="ES804"/>
        </row>
        <row r="805">
          <cell r="ES805"/>
        </row>
        <row r="806">
          <cell r="ES806"/>
        </row>
        <row r="807">
          <cell r="ES807"/>
        </row>
        <row r="808">
          <cell r="ES808"/>
        </row>
        <row r="809">
          <cell r="ES809"/>
        </row>
        <row r="810">
          <cell r="ES810"/>
        </row>
        <row r="811">
          <cell r="ES811"/>
        </row>
        <row r="812">
          <cell r="ES812"/>
        </row>
        <row r="813">
          <cell r="ES813"/>
        </row>
        <row r="814">
          <cell r="ES814"/>
        </row>
        <row r="815">
          <cell r="ES815"/>
        </row>
        <row r="816">
          <cell r="ES816"/>
        </row>
        <row r="817">
          <cell r="ES817"/>
        </row>
        <row r="818">
          <cell r="ES818"/>
        </row>
        <row r="819">
          <cell r="ES819"/>
        </row>
        <row r="820">
          <cell r="ES820"/>
        </row>
        <row r="821">
          <cell r="ES821"/>
        </row>
        <row r="822">
          <cell r="ES822"/>
        </row>
        <row r="823">
          <cell r="ES823"/>
        </row>
        <row r="824">
          <cell r="ES824"/>
        </row>
        <row r="825">
          <cell r="ES825"/>
        </row>
        <row r="826">
          <cell r="ES826"/>
        </row>
        <row r="827">
          <cell r="ES827"/>
        </row>
        <row r="828">
          <cell r="ES828"/>
        </row>
        <row r="829">
          <cell r="ES829"/>
        </row>
        <row r="830">
          <cell r="ES830"/>
        </row>
        <row r="831">
          <cell r="ES831"/>
        </row>
        <row r="832">
          <cell r="ES832"/>
        </row>
        <row r="833">
          <cell r="ES833"/>
        </row>
        <row r="834">
          <cell r="ES834"/>
        </row>
        <row r="835">
          <cell r="ES835"/>
        </row>
        <row r="836">
          <cell r="ES836"/>
        </row>
        <row r="837">
          <cell r="ES837"/>
        </row>
        <row r="838">
          <cell r="ES838"/>
        </row>
        <row r="839">
          <cell r="ES839"/>
        </row>
        <row r="840">
          <cell r="ES840"/>
        </row>
        <row r="841">
          <cell r="ES841"/>
        </row>
        <row r="842">
          <cell r="ES842"/>
        </row>
        <row r="843">
          <cell r="ES843"/>
        </row>
        <row r="844">
          <cell r="ES844"/>
        </row>
        <row r="845">
          <cell r="ES845"/>
        </row>
        <row r="846">
          <cell r="ES846"/>
        </row>
        <row r="847">
          <cell r="ES847"/>
        </row>
        <row r="848">
          <cell r="ES848"/>
        </row>
        <row r="849">
          <cell r="ES849"/>
        </row>
        <row r="850">
          <cell r="ES850"/>
        </row>
        <row r="851">
          <cell r="ES851"/>
        </row>
        <row r="852">
          <cell r="ES852"/>
        </row>
        <row r="853">
          <cell r="ES853"/>
        </row>
        <row r="854">
          <cell r="ES854"/>
        </row>
        <row r="855">
          <cell r="ES855"/>
        </row>
        <row r="856">
          <cell r="ES856"/>
        </row>
        <row r="857">
          <cell r="ES857"/>
        </row>
        <row r="858">
          <cell r="ES858"/>
        </row>
        <row r="859">
          <cell r="ES859"/>
        </row>
        <row r="860">
          <cell r="ES860"/>
        </row>
        <row r="861">
          <cell r="ES861"/>
        </row>
        <row r="862">
          <cell r="ES862"/>
        </row>
        <row r="863">
          <cell r="ES863"/>
        </row>
        <row r="864">
          <cell r="ES864"/>
        </row>
        <row r="865">
          <cell r="ES865"/>
        </row>
        <row r="866">
          <cell r="ES866"/>
        </row>
        <row r="867">
          <cell r="ES867"/>
        </row>
        <row r="868">
          <cell r="ES868"/>
        </row>
        <row r="869">
          <cell r="ES869"/>
        </row>
        <row r="870">
          <cell r="ES870"/>
        </row>
        <row r="871">
          <cell r="ES871"/>
        </row>
        <row r="872">
          <cell r="ES872"/>
        </row>
        <row r="873">
          <cell r="ES873"/>
        </row>
        <row r="874">
          <cell r="ES874"/>
        </row>
        <row r="875">
          <cell r="ES875"/>
        </row>
        <row r="876">
          <cell r="ES876"/>
        </row>
        <row r="877">
          <cell r="ES877"/>
        </row>
        <row r="878">
          <cell r="ES878"/>
        </row>
        <row r="879">
          <cell r="ES879"/>
        </row>
        <row r="880">
          <cell r="ES880"/>
        </row>
        <row r="881">
          <cell r="ES881"/>
        </row>
        <row r="882">
          <cell r="ES882"/>
        </row>
        <row r="883">
          <cell r="ES883"/>
        </row>
        <row r="884">
          <cell r="ES884"/>
        </row>
        <row r="885">
          <cell r="ES885"/>
        </row>
        <row r="886">
          <cell r="ES886"/>
        </row>
        <row r="887">
          <cell r="ES887"/>
        </row>
        <row r="888">
          <cell r="ES888"/>
        </row>
        <row r="889">
          <cell r="ES889"/>
        </row>
        <row r="890">
          <cell r="ES890"/>
        </row>
        <row r="891">
          <cell r="ES891"/>
        </row>
        <row r="892">
          <cell r="ES892"/>
        </row>
        <row r="893">
          <cell r="ES893"/>
        </row>
        <row r="894">
          <cell r="ES894"/>
        </row>
        <row r="895">
          <cell r="ES895"/>
        </row>
        <row r="896">
          <cell r="ES896"/>
        </row>
        <row r="897">
          <cell r="ES897"/>
        </row>
        <row r="898">
          <cell r="ES898"/>
        </row>
        <row r="899">
          <cell r="ES899"/>
        </row>
        <row r="900">
          <cell r="ES900"/>
        </row>
        <row r="901">
          <cell r="ES901"/>
        </row>
        <row r="902">
          <cell r="ES902"/>
        </row>
        <row r="903">
          <cell r="ES903"/>
        </row>
        <row r="904">
          <cell r="ES904"/>
        </row>
        <row r="905">
          <cell r="ES905"/>
        </row>
        <row r="906">
          <cell r="ES906"/>
        </row>
        <row r="907">
          <cell r="ES907"/>
        </row>
        <row r="908">
          <cell r="ES908"/>
        </row>
        <row r="909">
          <cell r="ES909"/>
        </row>
        <row r="910">
          <cell r="ES910"/>
        </row>
        <row r="911">
          <cell r="ES911"/>
        </row>
        <row r="912">
          <cell r="ES912"/>
        </row>
        <row r="913">
          <cell r="ES913"/>
        </row>
        <row r="914">
          <cell r="ES914"/>
        </row>
        <row r="915">
          <cell r="ES915"/>
        </row>
        <row r="916">
          <cell r="ES916"/>
        </row>
        <row r="917">
          <cell r="ES917"/>
        </row>
        <row r="918">
          <cell r="ES918"/>
        </row>
        <row r="919">
          <cell r="ES919"/>
        </row>
        <row r="920">
          <cell r="ES920"/>
        </row>
        <row r="921">
          <cell r="ES921"/>
        </row>
        <row r="922">
          <cell r="ES922"/>
        </row>
        <row r="923">
          <cell r="ES923"/>
        </row>
        <row r="924">
          <cell r="ES924"/>
        </row>
        <row r="925">
          <cell r="ES925"/>
        </row>
        <row r="926">
          <cell r="ES926"/>
        </row>
        <row r="927">
          <cell r="ES927"/>
        </row>
        <row r="928">
          <cell r="ES928"/>
        </row>
        <row r="929">
          <cell r="ES929"/>
        </row>
        <row r="930">
          <cell r="ES930"/>
        </row>
        <row r="931">
          <cell r="ES931"/>
        </row>
        <row r="932">
          <cell r="ES932"/>
        </row>
        <row r="933">
          <cell r="ES933"/>
        </row>
        <row r="934">
          <cell r="ES934"/>
        </row>
        <row r="935">
          <cell r="ES935"/>
        </row>
        <row r="936">
          <cell r="ES936"/>
        </row>
        <row r="937">
          <cell r="ES937"/>
        </row>
        <row r="938">
          <cell r="ES938"/>
        </row>
        <row r="939">
          <cell r="ES939"/>
        </row>
        <row r="940">
          <cell r="ES940"/>
        </row>
        <row r="941">
          <cell r="ES941"/>
        </row>
        <row r="942">
          <cell r="ES942"/>
        </row>
        <row r="943">
          <cell r="ES943"/>
        </row>
        <row r="944">
          <cell r="ES944"/>
        </row>
        <row r="945">
          <cell r="ES945"/>
        </row>
        <row r="946">
          <cell r="ES946"/>
        </row>
        <row r="947">
          <cell r="ES947"/>
        </row>
        <row r="948">
          <cell r="ES948"/>
        </row>
        <row r="949">
          <cell r="ES949"/>
        </row>
        <row r="950">
          <cell r="ES950"/>
        </row>
        <row r="951">
          <cell r="ES951"/>
        </row>
        <row r="952">
          <cell r="ES952"/>
        </row>
        <row r="953">
          <cell r="ES953"/>
        </row>
        <row r="954">
          <cell r="ES954"/>
        </row>
        <row r="955">
          <cell r="ES955"/>
        </row>
        <row r="956">
          <cell r="ES956"/>
        </row>
        <row r="957">
          <cell r="ES957"/>
        </row>
        <row r="958">
          <cell r="ES958"/>
        </row>
        <row r="959">
          <cell r="ES959"/>
        </row>
        <row r="960">
          <cell r="ES960"/>
        </row>
        <row r="961">
          <cell r="ES961"/>
        </row>
        <row r="962">
          <cell r="ES962"/>
        </row>
        <row r="963">
          <cell r="ES963"/>
        </row>
        <row r="964">
          <cell r="ES964"/>
        </row>
        <row r="965">
          <cell r="ES965"/>
        </row>
        <row r="966">
          <cell r="ES966"/>
        </row>
        <row r="967">
          <cell r="ES967"/>
        </row>
        <row r="968">
          <cell r="ES968"/>
        </row>
        <row r="969">
          <cell r="ES969"/>
        </row>
        <row r="970">
          <cell r="ES970"/>
        </row>
        <row r="971">
          <cell r="ES971"/>
        </row>
        <row r="972">
          <cell r="ES972"/>
        </row>
        <row r="973">
          <cell r="ES973"/>
        </row>
        <row r="974">
          <cell r="ES974"/>
        </row>
        <row r="975">
          <cell r="ES975"/>
        </row>
        <row r="976">
          <cell r="ES976"/>
        </row>
        <row r="977">
          <cell r="ES977"/>
        </row>
        <row r="978">
          <cell r="ES978"/>
        </row>
        <row r="979">
          <cell r="ES979"/>
        </row>
        <row r="980">
          <cell r="ES980"/>
        </row>
        <row r="981">
          <cell r="ES981"/>
        </row>
        <row r="982">
          <cell r="ES982"/>
        </row>
        <row r="983">
          <cell r="ES983"/>
        </row>
        <row r="984">
          <cell r="ES984"/>
        </row>
        <row r="985">
          <cell r="ES985"/>
        </row>
        <row r="986">
          <cell r="ES986"/>
        </row>
        <row r="987">
          <cell r="ES987"/>
        </row>
        <row r="988">
          <cell r="ES988"/>
        </row>
        <row r="989">
          <cell r="ES989"/>
        </row>
        <row r="990">
          <cell r="ES990"/>
        </row>
        <row r="991">
          <cell r="ES991"/>
        </row>
        <row r="992">
          <cell r="ES992"/>
        </row>
        <row r="993">
          <cell r="ES993"/>
        </row>
        <row r="994">
          <cell r="ES994"/>
        </row>
        <row r="995">
          <cell r="ES995"/>
        </row>
        <row r="996">
          <cell r="ES996"/>
        </row>
        <row r="997">
          <cell r="ES997"/>
        </row>
        <row r="998">
          <cell r="ES998"/>
        </row>
        <row r="999">
          <cell r="ES999"/>
        </row>
        <row r="1000">
          <cell r="ES1000"/>
        </row>
        <row r="1001">
          <cell r="ES1001"/>
        </row>
        <row r="1002">
          <cell r="ES1002"/>
        </row>
        <row r="1003">
          <cell r="ES1003"/>
        </row>
        <row r="1004">
          <cell r="ES1004"/>
        </row>
        <row r="1005">
          <cell r="ES1005"/>
        </row>
        <row r="1006">
          <cell r="ES1006"/>
        </row>
        <row r="1007">
          <cell r="ES1007"/>
        </row>
        <row r="1008">
          <cell r="ES1008"/>
        </row>
        <row r="1009">
          <cell r="ES1009"/>
        </row>
        <row r="1010">
          <cell r="ES1010"/>
        </row>
        <row r="1011">
          <cell r="ES1011"/>
        </row>
        <row r="1012">
          <cell r="ES1012"/>
        </row>
      </sheetData>
      <sheetData sheetId="14">
        <row r="4">
          <cell r="I4">
            <v>1332266</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AL"/>
      <sheetName val="SKO"/>
      <sheetName val="6030"/>
      <sheetName val="SKO FILTER"/>
      <sheetName val="Sheet3"/>
    </sheetNames>
    <sheetDataSet>
      <sheetData sheetId="0"/>
      <sheetData sheetId="1"/>
      <sheetData sheetId="2"/>
      <sheetData sheetId="3"/>
      <sheetData sheetId="4">
        <row r="1">
          <cell r="A1" t="str">
            <v>Units</v>
          </cell>
          <cell r="B1" t="str">
            <v>Family</v>
          </cell>
          <cell r="C1" t="str">
            <v>Model</v>
          </cell>
        </row>
        <row r="2">
          <cell r="A2" t="str">
            <v>HE4019</v>
          </cell>
          <cell r="B2" t="str">
            <v>Excavator</v>
          </cell>
          <cell r="C2" t="str">
            <v>390-WAP</v>
          </cell>
        </row>
        <row r="3">
          <cell r="A3" t="str">
            <v>HE4020</v>
          </cell>
          <cell r="B3" t="str">
            <v>Excavator</v>
          </cell>
          <cell r="C3" t="str">
            <v>390-WAP</v>
          </cell>
        </row>
        <row r="4">
          <cell r="A4" t="str">
            <v>HE4021</v>
          </cell>
          <cell r="B4" t="str">
            <v>Excavator</v>
          </cell>
          <cell r="C4" t="str">
            <v>390-WAP</v>
          </cell>
        </row>
        <row r="5">
          <cell r="A5" t="str">
            <v>HE4022</v>
          </cell>
          <cell r="B5" t="str">
            <v>Excavator</v>
          </cell>
          <cell r="C5" t="str">
            <v>390-WAP</v>
          </cell>
        </row>
        <row r="6">
          <cell r="A6" t="str">
            <v>HE4023</v>
          </cell>
          <cell r="B6" t="str">
            <v>Excavator</v>
          </cell>
          <cell r="C6" t="str">
            <v>390-WAP</v>
          </cell>
        </row>
        <row r="7">
          <cell r="A7" t="str">
            <v>HE4024</v>
          </cell>
          <cell r="B7" t="str">
            <v>Excavator</v>
          </cell>
          <cell r="C7" t="str">
            <v>390-WAP</v>
          </cell>
        </row>
        <row r="8">
          <cell r="A8" t="str">
            <v>HT2001</v>
          </cell>
          <cell r="B8" t="str">
            <v>Truck</v>
          </cell>
          <cell r="C8" t="str">
            <v>777C-4XJ</v>
          </cell>
        </row>
        <row r="9">
          <cell r="A9" t="str">
            <v>HT2002</v>
          </cell>
          <cell r="B9" t="str">
            <v>Truck</v>
          </cell>
          <cell r="C9" t="str">
            <v>777C-4XJ</v>
          </cell>
        </row>
        <row r="10">
          <cell r="A10" t="str">
            <v>HT2005</v>
          </cell>
          <cell r="B10" t="str">
            <v>Truck</v>
          </cell>
          <cell r="C10" t="str">
            <v>777C-4XJ</v>
          </cell>
        </row>
        <row r="11">
          <cell r="A11" t="str">
            <v>HT2006</v>
          </cell>
          <cell r="B11" t="str">
            <v>Truck</v>
          </cell>
          <cell r="C11" t="str">
            <v>777C-4XJ</v>
          </cell>
        </row>
        <row r="12">
          <cell r="A12" t="str">
            <v>HT2007</v>
          </cell>
          <cell r="B12" t="str">
            <v>Truck</v>
          </cell>
          <cell r="C12" t="str">
            <v>777C-4XJ</v>
          </cell>
        </row>
        <row r="13">
          <cell r="A13" t="str">
            <v>HT2008</v>
          </cell>
          <cell r="B13" t="str">
            <v>Truck</v>
          </cell>
          <cell r="C13" t="str">
            <v>777C-4XJ</v>
          </cell>
        </row>
        <row r="14">
          <cell r="A14" t="str">
            <v>HT2009</v>
          </cell>
          <cell r="B14" t="str">
            <v>Truck</v>
          </cell>
          <cell r="C14" t="str">
            <v>777C-4XJ</v>
          </cell>
        </row>
        <row r="15">
          <cell r="A15" t="str">
            <v>HT2010</v>
          </cell>
          <cell r="B15" t="str">
            <v>Truck</v>
          </cell>
          <cell r="C15" t="str">
            <v>777C-4XJ</v>
          </cell>
        </row>
        <row r="16">
          <cell r="A16" t="str">
            <v>HT2011</v>
          </cell>
          <cell r="B16" t="str">
            <v>Truck</v>
          </cell>
          <cell r="C16" t="str">
            <v>777C-4XJ</v>
          </cell>
        </row>
        <row r="17">
          <cell r="A17" t="str">
            <v>HT2012</v>
          </cell>
          <cell r="B17" t="str">
            <v>Truck</v>
          </cell>
          <cell r="C17" t="str">
            <v>777D-3PR</v>
          </cell>
        </row>
        <row r="18">
          <cell r="A18" t="str">
            <v>HT2013</v>
          </cell>
          <cell r="B18" t="str">
            <v>Truck</v>
          </cell>
          <cell r="C18" t="str">
            <v>777D-3PR</v>
          </cell>
        </row>
        <row r="19">
          <cell r="A19" t="str">
            <v>HT2014</v>
          </cell>
          <cell r="B19" t="str">
            <v>Truck</v>
          </cell>
          <cell r="C19" t="str">
            <v>777D-3PR</v>
          </cell>
        </row>
        <row r="20">
          <cell r="A20" t="str">
            <v>HT2015</v>
          </cell>
          <cell r="B20" t="str">
            <v>Truck</v>
          </cell>
          <cell r="C20" t="str">
            <v>777D-3PR</v>
          </cell>
        </row>
        <row r="21">
          <cell r="A21" t="str">
            <v>HT2016</v>
          </cell>
          <cell r="B21" t="str">
            <v>Truck</v>
          </cell>
          <cell r="C21" t="str">
            <v>777D-3PR</v>
          </cell>
        </row>
        <row r="22">
          <cell r="A22" t="str">
            <v>HT2017</v>
          </cell>
          <cell r="B22" t="str">
            <v>Truck</v>
          </cell>
          <cell r="C22" t="str">
            <v>777D-3PR</v>
          </cell>
        </row>
        <row r="23">
          <cell r="A23" t="str">
            <v>HT2018</v>
          </cell>
          <cell r="B23" t="str">
            <v>Truck</v>
          </cell>
          <cell r="C23" t="str">
            <v>777D-3PR</v>
          </cell>
        </row>
        <row r="24">
          <cell r="A24" t="str">
            <v>HT2019</v>
          </cell>
          <cell r="B24" t="str">
            <v>Truck</v>
          </cell>
          <cell r="C24" t="str">
            <v>777D-3PR</v>
          </cell>
        </row>
        <row r="25">
          <cell r="A25" t="str">
            <v>HT2020</v>
          </cell>
          <cell r="B25" t="str">
            <v>Truck</v>
          </cell>
          <cell r="C25" t="str">
            <v>777D-3PR</v>
          </cell>
        </row>
        <row r="26">
          <cell r="A26" t="str">
            <v>HT2021</v>
          </cell>
          <cell r="B26" t="str">
            <v>Truck</v>
          </cell>
          <cell r="C26" t="str">
            <v>777D-3PR</v>
          </cell>
        </row>
        <row r="27">
          <cell r="A27" t="str">
            <v>HT2022</v>
          </cell>
          <cell r="B27" t="str">
            <v>Truck</v>
          </cell>
          <cell r="C27" t="str">
            <v>777D-3PR</v>
          </cell>
        </row>
        <row r="28">
          <cell r="A28" t="str">
            <v>HT2023</v>
          </cell>
          <cell r="B28" t="str">
            <v>Truck</v>
          </cell>
          <cell r="C28" t="str">
            <v>777D-3PR</v>
          </cell>
        </row>
        <row r="29">
          <cell r="A29" t="str">
            <v>HT2024</v>
          </cell>
          <cell r="B29" t="str">
            <v>Truck</v>
          </cell>
          <cell r="C29" t="str">
            <v>777D-3PR</v>
          </cell>
        </row>
        <row r="30">
          <cell r="A30" t="str">
            <v>HT2025</v>
          </cell>
          <cell r="B30" t="str">
            <v>Truck</v>
          </cell>
          <cell r="C30" t="str">
            <v>777D-3PR</v>
          </cell>
        </row>
        <row r="31">
          <cell r="A31" t="str">
            <v>HT2026</v>
          </cell>
          <cell r="B31" t="str">
            <v>Truck</v>
          </cell>
          <cell r="C31" t="str">
            <v>777D-3PR</v>
          </cell>
        </row>
        <row r="32">
          <cell r="A32" t="str">
            <v>HT2027</v>
          </cell>
          <cell r="B32" t="str">
            <v>Truck</v>
          </cell>
          <cell r="C32" t="str">
            <v>777D-3PR</v>
          </cell>
        </row>
        <row r="33">
          <cell r="A33" t="str">
            <v>HT2028</v>
          </cell>
          <cell r="B33" t="str">
            <v>Truck</v>
          </cell>
          <cell r="C33" t="str">
            <v>777D-3PR</v>
          </cell>
        </row>
        <row r="34">
          <cell r="A34" t="str">
            <v>HT2029</v>
          </cell>
          <cell r="B34" t="str">
            <v>Truck</v>
          </cell>
          <cell r="C34" t="str">
            <v>777D-3PR</v>
          </cell>
        </row>
        <row r="35">
          <cell r="A35" t="str">
            <v>HT2030</v>
          </cell>
          <cell r="B35" t="str">
            <v>Truck</v>
          </cell>
          <cell r="C35" t="str">
            <v>777D-AGC</v>
          </cell>
        </row>
        <row r="36">
          <cell r="A36" t="str">
            <v>HT2031</v>
          </cell>
          <cell r="B36" t="str">
            <v>Truck</v>
          </cell>
          <cell r="C36" t="str">
            <v>777D-AGC</v>
          </cell>
        </row>
        <row r="37">
          <cell r="A37" t="str">
            <v>HT2032</v>
          </cell>
          <cell r="B37" t="str">
            <v>Truck</v>
          </cell>
          <cell r="C37" t="str">
            <v>777D-AGC</v>
          </cell>
        </row>
        <row r="38">
          <cell r="A38" t="str">
            <v>HT2033</v>
          </cell>
          <cell r="B38" t="str">
            <v>Truck</v>
          </cell>
          <cell r="C38" t="str">
            <v>777D-AGC</v>
          </cell>
        </row>
        <row r="39">
          <cell r="A39" t="str">
            <v>HT2034</v>
          </cell>
          <cell r="B39" t="str">
            <v>Truck</v>
          </cell>
          <cell r="C39" t="str">
            <v>777D-AGC</v>
          </cell>
        </row>
        <row r="40">
          <cell r="A40" t="str">
            <v>HT2035</v>
          </cell>
          <cell r="B40" t="str">
            <v>Truck</v>
          </cell>
          <cell r="C40" t="str">
            <v>777D-AGC</v>
          </cell>
        </row>
        <row r="41">
          <cell r="A41" t="str">
            <v>HT2036</v>
          </cell>
          <cell r="B41" t="str">
            <v>Truck</v>
          </cell>
          <cell r="C41" t="str">
            <v>777D-AGC</v>
          </cell>
        </row>
        <row r="42">
          <cell r="A42" t="str">
            <v>HT2037</v>
          </cell>
          <cell r="B42" t="str">
            <v>Truck</v>
          </cell>
          <cell r="C42" t="str">
            <v>777D-AGC</v>
          </cell>
        </row>
        <row r="43">
          <cell r="A43" t="str">
            <v>HT2038</v>
          </cell>
          <cell r="B43" t="str">
            <v>Truck</v>
          </cell>
          <cell r="C43" t="str">
            <v>777D-AGC</v>
          </cell>
        </row>
        <row r="44">
          <cell r="A44" t="str">
            <v>HT2039</v>
          </cell>
          <cell r="B44" t="str">
            <v>Truck</v>
          </cell>
          <cell r="C44" t="str">
            <v>777D-AGC</v>
          </cell>
        </row>
        <row r="45">
          <cell r="A45" t="str">
            <v>HT2040</v>
          </cell>
          <cell r="B45" t="str">
            <v>Truck</v>
          </cell>
          <cell r="C45" t="str">
            <v>777D-AGC</v>
          </cell>
        </row>
        <row r="46">
          <cell r="A46" t="str">
            <v>HT2041</v>
          </cell>
          <cell r="B46" t="str">
            <v>Truck</v>
          </cell>
          <cell r="C46" t="str">
            <v>777D-AGC</v>
          </cell>
        </row>
        <row r="47">
          <cell r="A47" t="str">
            <v>HT2042</v>
          </cell>
          <cell r="B47" t="str">
            <v>Truck</v>
          </cell>
          <cell r="C47" t="str">
            <v>777D-AGC</v>
          </cell>
        </row>
        <row r="48">
          <cell r="A48" t="str">
            <v>HT2043</v>
          </cell>
          <cell r="B48" t="str">
            <v>Truck</v>
          </cell>
          <cell r="C48" t="str">
            <v>777D-AGC</v>
          </cell>
        </row>
        <row r="49">
          <cell r="A49" t="str">
            <v>HT2044</v>
          </cell>
          <cell r="B49" t="str">
            <v>Truck</v>
          </cell>
          <cell r="C49" t="str">
            <v>777D-AGC</v>
          </cell>
        </row>
        <row r="50">
          <cell r="A50" t="str">
            <v>HT2045</v>
          </cell>
          <cell r="B50" t="str">
            <v>Truck</v>
          </cell>
          <cell r="C50" t="str">
            <v>777D-AGC</v>
          </cell>
        </row>
        <row r="51">
          <cell r="A51" t="str">
            <v>HT2046</v>
          </cell>
          <cell r="B51" t="str">
            <v>Truck</v>
          </cell>
          <cell r="C51" t="str">
            <v>777D-AGC</v>
          </cell>
        </row>
        <row r="52">
          <cell r="A52" t="str">
            <v>HT2047</v>
          </cell>
          <cell r="B52" t="str">
            <v>Truck</v>
          </cell>
          <cell r="C52" t="str">
            <v>777D-AGC</v>
          </cell>
        </row>
        <row r="53">
          <cell r="A53" t="str">
            <v>HT2048</v>
          </cell>
          <cell r="B53" t="str">
            <v>Truck</v>
          </cell>
          <cell r="C53" t="str">
            <v>777D-AGC</v>
          </cell>
        </row>
        <row r="54">
          <cell r="A54" t="str">
            <v>HT2049</v>
          </cell>
          <cell r="B54" t="str">
            <v>Truck</v>
          </cell>
          <cell r="C54" t="str">
            <v>777D-AGC</v>
          </cell>
        </row>
        <row r="55">
          <cell r="A55" t="str">
            <v>HT2050</v>
          </cell>
          <cell r="B55" t="str">
            <v>Truck</v>
          </cell>
          <cell r="C55" t="str">
            <v>777D-AGC</v>
          </cell>
        </row>
        <row r="56">
          <cell r="A56" t="str">
            <v>HT2073</v>
          </cell>
          <cell r="B56" t="str">
            <v>Truck</v>
          </cell>
          <cell r="C56" t="str">
            <v>777D-FKR</v>
          </cell>
        </row>
        <row r="57">
          <cell r="A57" t="str">
            <v>HT2074</v>
          </cell>
          <cell r="B57" t="str">
            <v>Truck</v>
          </cell>
          <cell r="C57" t="str">
            <v>777D-FKR</v>
          </cell>
        </row>
        <row r="58">
          <cell r="A58" t="str">
            <v>HT2075</v>
          </cell>
          <cell r="B58" t="str">
            <v>Truck</v>
          </cell>
          <cell r="C58" t="str">
            <v>777D-FKR</v>
          </cell>
        </row>
        <row r="59">
          <cell r="A59" t="str">
            <v>HT2076</v>
          </cell>
          <cell r="B59" t="str">
            <v>Truck</v>
          </cell>
          <cell r="C59" t="str">
            <v>777D-FKR</v>
          </cell>
        </row>
        <row r="60">
          <cell r="A60" t="str">
            <v>HT2077</v>
          </cell>
          <cell r="B60" t="str">
            <v>Truck</v>
          </cell>
          <cell r="C60" t="str">
            <v>777D-FKR</v>
          </cell>
        </row>
        <row r="61">
          <cell r="A61" t="str">
            <v>HT2078</v>
          </cell>
          <cell r="B61" t="str">
            <v>Truck</v>
          </cell>
          <cell r="C61" t="str">
            <v>777D-FKR</v>
          </cell>
        </row>
        <row r="62">
          <cell r="A62" t="str">
            <v>HT2079</v>
          </cell>
          <cell r="B62" t="str">
            <v>Truck</v>
          </cell>
          <cell r="C62" t="str">
            <v>777D-FKR</v>
          </cell>
        </row>
        <row r="63">
          <cell r="A63" t="str">
            <v>HT2080</v>
          </cell>
          <cell r="B63" t="str">
            <v>Truck</v>
          </cell>
          <cell r="C63" t="str">
            <v>777D-FKR</v>
          </cell>
        </row>
        <row r="64">
          <cell r="A64" t="str">
            <v>HT2081</v>
          </cell>
          <cell r="B64" t="str">
            <v>Truck</v>
          </cell>
          <cell r="C64" t="str">
            <v>777D-FKR</v>
          </cell>
        </row>
        <row r="65">
          <cell r="A65" t="str">
            <v>HT2082</v>
          </cell>
          <cell r="B65" t="str">
            <v>Truck</v>
          </cell>
          <cell r="C65" t="str">
            <v>777D-FKR</v>
          </cell>
        </row>
        <row r="66">
          <cell r="A66" t="str">
            <v>HT2083</v>
          </cell>
          <cell r="B66" t="str">
            <v>Truck</v>
          </cell>
          <cell r="C66" t="str">
            <v>777D-FKR</v>
          </cell>
        </row>
        <row r="67">
          <cell r="A67" t="str">
            <v>HT2084</v>
          </cell>
          <cell r="B67" t="str">
            <v>Truck</v>
          </cell>
          <cell r="C67" t="str">
            <v>777D-FKR</v>
          </cell>
        </row>
        <row r="68">
          <cell r="A68" t="str">
            <v>HT2085</v>
          </cell>
          <cell r="B68" t="str">
            <v>Truck</v>
          </cell>
          <cell r="C68" t="str">
            <v>777D-FKR</v>
          </cell>
        </row>
        <row r="69">
          <cell r="A69" t="str">
            <v>HT2086</v>
          </cell>
          <cell r="B69" t="str">
            <v>Truck</v>
          </cell>
          <cell r="C69" t="str">
            <v>777D-FKR</v>
          </cell>
        </row>
        <row r="70">
          <cell r="A70" t="str">
            <v>HT2087</v>
          </cell>
          <cell r="B70" t="str">
            <v>Truck</v>
          </cell>
          <cell r="C70" t="str">
            <v>777D-FKR</v>
          </cell>
        </row>
        <row r="71">
          <cell r="A71" t="str">
            <v>HT2088</v>
          </cell>
          <cell r="B71" t="str">
            <v>Truck</v>
          </cell>
          <cell r="C71" t="str">
            <v>777D-FKR</v>
          </cell>
        </row>
        <row r="72">
          <cell r="A72" t="str">
            <v>HT2089</v>
          </cell>
          <cell r="B72" t="str">
            <v>Truck</v>
          </cell>
          <cell r="C72" t="str">
            <v>777D-FKR</v>
          </cell>
        </row>
        <row r="73">
          <cell r="A73" t="str">
            <v>HT2090</v>
          </cell>
          <cell r="B73" t="str">
            <v>Truck</v>
          </cell>
          <cell r="C73" t="str">
            <v>777D-FKR</v>
          </cell>
        </row>
        <row r="74">
          <cell r="A74" t="str">
            <v>HT2091</v>
          </cell>
          <cell r="B74" t="str">
            <v>Truck</v>
          </cell>
          <cell r="C74" t="str">
            <v>777D-FKR</v>
          </cell>
        </row>
        <row r="75">
          <cell r="A75" t="str">
            <v>HT2092</v>
          </cell>
          <cell r="B75" t="str">
            <v>Truck</v>
          </cell>
          <cell r="C75" t="str">
            <v>777D-FKR</v>
          </cell>
        </row>
        <row r="76">
          <cell r="A76" t="str">
            <v>HT2093</v>
          </cell>
          <cell r="B76" t="str">
            <v>Truck</v>
          </cell>
          <cell r="C76" t="str">
            <v>777D-FKR</v>
          </cell>
        </row>
        <row r="77">
          <cell r="A77" t="str">
            <v>HT4001</v>
          </cell>
          <cell r="B77" t="str">
            <v>Truck</v>
          </cell>
          <cell r="C77" t="str">
            <v>785C-APX</v>
          </cell>
        </row>
        <row r="78">
          <cell r="A78" t="str">
            <v>HT4002</v>
          </cell>
          <cell r="B78" t="str">
            <v>Truck</v>
          </cell>
          <cell r="C78" t="str">
            <v>785C-APX</v>
          </cell>
        </row>
        <row r="79">
          <cell r="A79" t="str">
            <v>HT4003</v>
          </cell>
          <cell r="B79" t="str">
            <v>Truck</v>
          </cell>
          <cell r="C79" t="str">
            <v>785C-APX</v>
          </cell>
        </row>
        <row r="80">
          <cell r="A80" t="str">
            <v>HT4004</v>
          </cell>
          <cell r="B80" t="str">
            <v>Truck</v>
          </cell>
          <cell r="C80" t="str">
            <v>785C-APX</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utorial"/>
      <sheetName val="WorkPlan2"/>
      <sheetName val="DailyWeeklyPlan"/>
      <sheetName val="WWP Report"/>
      <sheetName val="DDTL"/>
      <sheetName val="789C"/>
      <sheetName val="785C"/>
      <sheetName val="24M"/>
      <sheetName val="Overlap"/>
      <sheetName val="UNA789C"/>
      <sheetName val="UNA785C"/>
      <sheetName val="UNA24M"/>
      <sheetName val="Pre_GantChart"/>
      <sheetName val="GantChart"/>
      <sheetName val="Judul"/>
      <sheetName val="Auto Gen BKJ_BUMA_REV_0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row r="2">
          <cell r="D2" t="str">
            <v>BKJ  BUMA 01</v>
          </cell>
        </row>
        <row r="59">
          <cell r="B59" t="str">
            <v>GDCT24003</v>
          </cell>
          <cell r="C59" t="str">
            <v>24M</v>
          </cell>
        </row>
        <row r="60">
          <cell r="B60" t="str">
            <v>GDCT24004</v>
          </cell>
          <cell r="C60" t="str">
            <v>24M</v>
          </cell>
        </row>
        <row r="61">
          <cell r="B61" t="str">
            <v>HDCT78036</v>
          </cell>
          <cell r="C61" t="str">
            <v>785C</v>
          </cell>
        </row>
        <row r="62">
          <cell r="B62" t="str">
            <v>HDCT78037</v>
          </cell>
          <cell r="C62" t="str">
            <v>785C</v>
          </cell>
        </row>
        <row r="63">
          <cell r="B63" t="str">
            <v>HDCT78038</v>
          </cell>
          <cell r="C63" t="str">
            <v>785C</v>
          </cell>
        </row>
        <row r="64">
          <cell r="B64" t="str">
            <v>HDCT78039</v>
          </cell>
          <cell r="C64" t="str">
            <v>785C</v>
          </cell>
        </row>
        <row r="65">
          <cell r="B65" t="str">
            <v>HDCT78040</v>
          </cell>
          <cell r="C65" t="str">
            <v>785C</v>
          </cell>
        </row>
        <row r="66">
          <cell r="B66" t="str">
            <v>HDCT78041</v>
          </cell>
          <cell r="C66" t="str">
            <v>785C</v>
          </cell>
        </row>
        <row r="67">
          <cell r="B67" t="str">
            <v>HDCT78042</v>
          </cell>
          <cell r="C67" t="str">
            <v>785C</v>
          </cell>
        </row>
        <row r="68">
          <cell r="B68" t="str">
            <v>HDCT78043</v>
          </cell>
          <cell r="C68" t="str">
            <v>785C</v>
          </cell>
        </row>
        <row r="69">
          <cell r="B69" t="str">
            <v>HDCT78044</v>
          </cell>
          <cell r="C69" t="str">
            <v>785C</v>
          </cell>
        </row>
        <row r="70">
          <cell r="B70" t="str">
            <v>HDCT78045</v>
          </cell>
          <cell r="C70" t="str">
            <v>785C</v>
          </cell>
        </row>
        <row r="71">
          <cell r="B71" t="str">
            <v>HDCT78046</v>
          </cell>
          <cell r="C71" t="str">
            <v>785C</v>
          </cell>
        </row>
        <row r="72">
          <cell r="B72" t="str">
            <v>HDCT78047</v>
          </cell>
          <cell r="C72" t="str">
            <v>785C</v>
          </cell>
        </row>
        <row r="73">
          <cell r="B73" t="str">
            <v>HDCT78048</v>
          </cell>
          <cell r="C73" t="str">
            <v>785C</v>
          </cell>
        </row>
        <row r="74">
          <cell r="B74" t="str">
            <v>HDCT78049</v>
          </cell>
          <cell r="C74" t="str">
            <v>785C</v>
          </cell>
        </row>
        <row r="75">
          <cell r="B75" t="str">
            <v>HDCT78050</v>
          </cell>
          <cell r="C75" t="str">
            <v>785C</v>
          </cell>
        </row>
        <row r="76">
          <cell r="B76" t="str">
            <v>HDCT78051</v>
          </cell>
          <cell r="C76" t="str">
            <v>785C</v>
          </cell>
        </row>
        <row r="77">
          <cell r="B77" t="str">
            <v>HDCT78052</v>
          </cell>
          <cell r="C77" t="str">
            <v>785C</v>
          </cell>
        </row>
        <row r="78">
          <cell r="B78" t="str">
            <v>HDCT78053</v>
          </cell>
          <cell r="C78" t="str">
            <v>785C</v>
          </cell>
        </row>
        <row r="79">
          <cell r="B79" t="str">
            <v>HDCT78054</v>
          </cell>
          <cell r="C79" t="str">
            <v>785C</v>
          </cell>
        </row>
        <row r="80">
          <cell r="B80" t="str">
            <v>HDCT78055</v>
          </cell>
          <cell r="C80" t="str">
            <v>785C</v>
          </cell>
        </row>
        <row r="81">
          <cell r="B81" t="str">
            <v>HDCT79016</v>
          </cell>
          <cell r="C81" t="str">
            <v>789C</v>
          </cell>
        </row>
        <row r="82">
          <cell r="B82" t="str">
            <v>HDCT79017</v>
          </cell>
          <cell r="C82" t="str">
            <v>789C</v>
          </cell>
        </row>
        <row r="83">
          <cell r="B83" t="str">
            <v>HDCT79018</v>
          </cell>
          <cell r="C83" t="str">
            <v>789C</v>
          </cell>
        </row>
        <row r="84">
          <cell r="B84" t="str">
            <v>HDCT79019</v>
          </cell>
          <cell r="C84" t="str">
            <v>789C</v>
          </cell>
        </row>
        <row r="85">
          <cell r="B85" t="str">
            <v>HDCT79020</v>
          </cell>
          <cell r="C85" t="str">
            <v>789C</v>
          </cell>
        </row>
        <row r="86">
          <cell r="B86" t="str">
            <v>HDCT79021</v>
          </cell>
          <cell r="C86" t="str">
            <v>789C</v>
          </cell>
        </row>
        <row r="87">
          <cell r="B87" t="str">
            <v>HDCT79022</v>
          </cell>
          <cell r="C87" t="str">
            <v>789C</v>
          </cell>
        </row>
        <row r="88">
          <cell r="B88" t="str">
            <v>HDCT79023</v>
          </cell>
          <cell r="C88" t="str">
            <v>789C</v>
          </cell>
        </row>
        <row r="89">
          <cell r="B89" t="str">
            <v>HDCT79024</v>
          </cell>
          <cell r="C89" t="str">
            <v>789C</v>
          </cell>
        </row>
        <row r="90">
          <cell r="B90" t="str">
            <v>HDCT79025</v>
          </cell>
          <cell r="C90" t="str">
            <v>789C</v>
          </cell>
        </row>
        <row r="91">
          <cell r="B91" t="str">
            <v>HDCT79026</v>
          </cell>
          <cell r="C91" t="str">
            <v>789C</v>
          </cell>
        </row>
        <row r="92">
          <cell r="B92" t="str">
            <v>HDCT79027</v>
          </cell>
          <cell r="C92" t="str">
            <v>789C</v>
          </cell>
        </row>
      </sheetData>
      <sheetData sheetId="15"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utorial"/>
      <sheetName val="WorkPlan2"/>
      <sheetName val="DailyWeeklyPlan"/>
      <sheetName val="WWP Report"/>
      <sheetName val="DDTL"/>
      <sheetName val="777D"/>
      <sheetName val="773E"/>
      <sheetName val="14M"/>
      <sheetName val="16M"/>
      <sheetName val="16H"/>
      <sheetName val="D10R"/>
      <sheetName val="D9R"/>
      <sheetName val="Overlap"/>
      <sheetName val="UNA777D"/>
      <sheetName val="UNA773E"/>
      <sheetName val="UNA14M"/>
      <sheetName val="UNA16M"/>
      <sheetName val="UNA16H"/>
      <sheetName val="UNAD10R"/>
      <sheetName val="UNAD9R"/>
      <sheetName val="Pre_GantChart"/>
      <sheetName val="GantChart"/>
      <sheetName val="Judul"/>
      <sheetName val="Sheet1"/>
    </sheetNames>
    <sheetDataSet>
      <sheetData sheetId="0"/>
      <sheetData sheetId="1"/>
      <sheetData sheetId="2">
        <row r="4">
          <cell r="S4" t="str">
            <v xml:space="preserve">IPBD112 - </v>
          </cell>
          <cell r="T4">
            <v>396.39300000000003</v>
          </cell>
        </row>
        <row r="5">
          <cell r="S5" t="str">
            <v xml:space="preserve"> - </v>
          </cell>
          <cell r="T5">
            <v>0</v>
          </cell>
        </row>
        <row r="6">
          <cell r="S6" t="str">
            <v xml:space="preserve"> - </v>
          </cell>
          <cell r="T6">
            <v>0</v>
          </cell>
        </row>
        <row r="7">
          <cell r="S7" t="str">
            <v xml:space="preserve"> - </v>
          </cell>
          <cell r="T7">
            <v>0</v>
          </cell>
        </row>
        <row r="8">
          <cell r="S8" t="str">
            <v xml:space="preserve"> - </v>
          </cell>
          <cell r="T8">
            <v>0</v>
          </cell>
        </row>
        <row r="9">
          <cell r="S9" t="str">
            <v xml:space="preserve"> - </v>
          </cell>
          <cell r="T9">
            <v>0</v>
          </cell>
        </row>
        <row r="10">
          <cell r="S10" t="str">
            <v xml:space="preserve"> - </v>
          </cell>
          <cell r="T10">
            <v>0</v>
          </cell>
        </row>
        <row r="11">
          <cell r="S11" t="str">
            <v xml:space="preserve"> - </v>
          </cell>
          <cell r="T11">
            <v>0</v>
          </cell>
        </row>
        <row r="12">
          <cell r="S12" t="str">
            <v xml:space="preserve"> - </v>
          </cell>
          <cell r="T12">
            <v>0</v>
          </cell>
        </row>
        <row r="13">
          <cell r="S13" t="str">
            <v xml:space="preserve"> - </v>
          </cell>
          <cell r="T13">
            <v>0</v>
          </cell>
        </row>
        <row r="14">
          <cell r="S14" t="str">
            <v xml:space="preserve"> - </v>
          </cell>
          <cell r="T14">
            <v>0</v>
          </cell>
        </row>
        <row r="15">
          <cell r="S15" t="str">
            <v xml:space="preserve"> - </v>
          </cell>
          <cell r="T15">
            <v>0</v>
          </cell>
        </row>
        <row r="16">
          <cell r="S16" t="str">
            <v xml:space="preserve"> - </v>
          </cell>
          <cell r="T16">
            <v>0</v>
          </cell>
        </row>
        <row r="17">
          <cell r="S17" t="str">
            <v xml:space="preserve"> - </v>
          </cell>
          <cell r="T17">
            <v>0</v>
          </cell>
        </row>
        <row r="18">
          <cell r="S18" t="str">
            <v xml:space="preserve"> - </v>
          </cell>
          <cell r="T18">
            <v>0</v>
          </cell>
        </row>
        <row r="19">
          <cell r="S19" t="str">
            <v xml:space="preserve"> - </v>
          </cell>
          <cell r="T19">
            <v>0</v>
          </cell>
        </row>
        <row r="20">
          <cell r="S20" t="str">
            <v xml:space="preserve"> - </v>
          </cell>
          <cell r="T20">
            <v>0</v>
          </cell>
        </row>
        <row r="21">
          <cell r="S21" t="str">
            <v xml:space="preserve"> - </v>
          </cell>
          <cell r="T21">
            <v>0</v>
          </cell>
        </row>
        <row r="22">
          <cell r="S22" t="str">
            <v xml:space="preserve"> - </v>
          </cell>
          <cell r="T22">
            <v>0</v>
          </cell>
        </row>
        <row r="23">
          <cell r="S23" t="str">
            <v xml:space="preserve"> - </v>
          </cell>
          <cell r="T23">
            <v>0</v>
          </cell>
        </row>
        <row r="24">
          <cell r="S24" t="str">
            <v xml:space="preserve"> - </v>
          </cell>
          <cell r="T24">
            <v>0</v>
          </cell>
        </row>
        <row r="25">
          <cell r="S25" t="str">
            <v xml:space="preserve">IPHD6404 - </v>
          </cell>
          <cell r="T25">
            <v>242.804</v>
          </cell>
        </row>
        <row r="26">
          <cell r="S26" t="str">
            <v xml:space="preserve"> - </v>
          </cell>
          <cell r="T26">
            <v>0</v>
          </cell>
        </row>
        <row r="27">
          <cell r="S27" t="str">
            <v xml:space="preserve"> - </v>
          </cell>
          <cell r="T27">
            <v>0</v>
          </cell>
        </row>
        <row r="28">
          <cell r="S28" t="str">
            <v xml:space="preserve"> - </v>
          </cell>
          <cell r="T28">
            <v>0</v>
          </cell>
        </row>
        <row r="29">
          <cell r="S29" t="str">
            <v xml:space="preserve"> - </v>
          </cell>
          <cell r="T29">
            <v>0</v>
          </cell>
        </row>
        <row r="30">
          <cell r="S30" t="str">
            <v xml:space="preserve"> - </v>
          </cell>
          <cell r="T30">
            <v>0</v>
          </cell>
        </row>
        <row r="31">
          <cell r="S31" t="str">
            <v xml:space="preserve"> - </v>
          </cell>
          <cell r="T31">
            <v>0</v>
          </cell>
        </row>
        <row r="32">
          <cell r="S32" t="str">
            <v xml:space="preserve"> - </v>
          </cell>
          <cell r="T32">
            <v>0</v>
          </cell>
        </row>
        <row r="33">
          <cell r="S33" t="str">
            <v xml:space="preserve"> - </v>
          </cell>
          <cell r="T33">
            <v>0</v>
          </cell>
        </row>
        <row r="34">
          <cell r="S34" t="str">
            <v xml:space="preserve"> - </v>
          </cell>
          <cell r="T34">
            <v>0</v>
          </cell>
        </row>
        <row r="35">
          <cell r="S35" t="str">
            <v xml:space="preserve"> - </v>
          </cell>
          <cell r="T35">
            <v>0</v>
          </cell>
        </row>
        <row r="36">
          <cell r="S36" t="str">
            <v xml:space="preserve"> - </v>
          </cell>
          <cell r="T36">
            <v>0</v>
          </cell>
        </row>
        <row r="37">
          <cell r="S37" t="str">
            <v xml:space="preserve"> - </v>
          </cell>
          <cell r="T37">
            <v>0</v>
          </cell>
        </row>
        <row r="38">
          <cell r="S38" t="str">
            <v xml:space="preserve"> - </v>
          </cell>
          <cell r="T38">
            <v>0</v>
          </cell>
        </row>
        <row r="39">
          <cell r="S39" t="str">
            <v xml:space="preserve"> - </v>
          </cell>
          <cell r="T39">
            <v>0</v>
          </cell>
        </row>
        <row r="40">
          <cell r="S40" t="str">
            <v xml:space="preserve"> - </v>
          </cell>
          <cell r="T40">
            <v>0</v>
          </cell>
        </row>
        <row r="41">
          <cell r="S41" t="str">
            <v xml:space="preserve"> - </v>
          </cell>
          <cell r="T41">
            <v>0</v>
          </cell>
        </row>
        <row r="42">
          <cell r="S42" t="str">
            <v xml:space="preserve">IPHD1153 - </v>
          </cell>
          <cell r="T42">
            <v>153.50200000000001</v>
          </cell>
        </row>
        <row r="43">
          <cell r="S43" t="str">
            <v xml:space="preserve"> - </v>
          </cell>
          <cell r="T43">
            <v>0</v>
          </cell>
        </row>
        <row r="44">
          <cell r="S44" t="str">
            <v xml:space="preserve"> - </v>
          </cell>
          <cell r="T44">
            <v>0</v>
          </cell>
        </row>
        <row r="45">
          <cell r="S45" t="str">
            <v xml:space="preserve"> - </v>
          </cell>
          <cell r="T45">
            <v>0</v>
          </cell>
        </row>
        <row r="46">
          <cell r="S46" t="str">
            <v xml:space="preserve"> - </v>
          </cell>
          <cell r="T46">
            <v>0</v>
          </cell>
        </row>
        <row r="47">
          <cell r="S47" t="str">
            <v xml:space="preserve"> - </v>
          </cell>
          <cell r="T47">
            <v>0</v>
          </cell>
        </row>
        <row r="48">
          <cell r="S48" t="str">
            <v xml:space="preserve"> - </v>
          </cell>
          <cell r="T48">
            <v>0</v>
          </cell>
        </row>
        <row r="49">
          <cell r="S49" t="str">
            <v xml:space="preserve"> - </v>
          </cell>
          <cell r="T49">
            <v>0</v>
          </cell>
        </row>
        <row r="50">
          <cell r="S50" t="str">
            <v xml:space="preserve"> - </v>
          </cell>
          <cell r="T50">
            <v>0</v>
          </cell>
        </row>
        <row r="51">
          <cell r="S51" t="str">
            <v xml:space="preserve"> - </v>
          </cell>
          <cell r="T51">
            <v>0</v>
          </cell>
        </row>
        <row r="52">
          <cell r="S52" t="str">
            <v xml:space="preserve"> - </v>
          </cell>
          <cell r="T52">
            <v>0</v>
          </cell>
        </row>
        <row r="53">
          <cell r="S53" t="str">
            <v xml:space="preserve"> - </v>
          </cell>
          <cell r="T53">
            <v>0</v>
          </cell>
        </row>
        <row r="54">
          <cell r="S54" t="str">
            <v xml:space="preserve"> - </v>
          </cell>
          <cell r="T54">
            <v>0</v>
          </cell>
        </row>
        <row r="55">
          <cell r="S55" t="str">
            <v xml:space="preserve"> - </v>
          </cell>
          <cell r="T55">
            <v>0</v>
          </cell>
        </row>
        <row r="56">
          <cell r="S56" t="str">
            <v xml:space="preserve"> - </v>
          </cell>
          <cell r="T56">
            <v>0</v>
          </cell>
        </row>
        <row r="57">
          <cell r="S57" t="str">
            <v xml:space="preserve"> - </v>
          </cell>
          <cell r="T57">
            <v>0</v>
          </cell>
        </row>
        <row r="58">
          <cell r="S58" t="str">
            <v xml:space="preserve"> - </v>
          </cell>
          <cell r="T58">
            <v>0</v>
          </cell>
        </row>
        <row r="59">
          <cell r="S59" t="str">
            <v xml:space="preserve"> - </v>
          </cell>
          <cell r="T59">
            <v>0</v>
          </cell>
        </row>
        <row r="60">
          <cell r="S60" t="str">
            <v xml:space="preserve"> - </v>
          </cell>
          <cell r="T60">
            <v>0</v>
          </cell>
        </row>
        <row r="61">
          <cell r="S61" t="str">
            <v xml:space="preserve">YTSHD621 - </v>
          </cell>
          <cell r="T61">
            <v>36</v>
          </cell>
        </row>
        <row r="62">
          <cell r="S62" t="str">
            <v xml:space="preserve"> - </v>
          </cell>
          <cell r="T62">
            <v>0</v>
          </cell>
        </row>
        <row r="63">
          <cell r="S63" t="str">
            <v xml:space="preserve"> - </v>
          </cell>
          <cell r="T63">
            <v>0</v>
          </cell>
        </row>
        <row r="64">
          <cell r="S64" t="str">
            <v xml:space="preserve"> - </v>
          </cell>
          <cell r="T64">
            <v>0</v>
          </cell>
        </row>
        <row r="65">
          <cell r="S65" t="str">
            <v xml:space="preserve"> - </v>
          </cell>
          <cell r="T65">
            <v>0</v>
          </cell>
        </row>
        <row r="66">
          <cell r="S66" t="str">
            <v xml:space="preserve"> - </v>
          </cell>
          <cell r="T66">
            <v>0</v>
          </cell>
        </row>
        <row r="67">
          <cell r="S67" t="str">
            <v xml:space="preserve"> - </v>
          </cell>
          <cell r="T67">
            <v>0</v>
          </cell>
        </row>
        <row r="68">
          <cell r="S68" t="str">
            <v xml:space="preserve"> - </v>
          </cell>
          <cell r="T68">
            <v>0</v>
          </cell>
        </row>
        <row r="69">
          <cell r="S69" t="str">
            <v xml:space="preserve"> - </v>
          </cell>
          <cell r="T69">
            <v>0</v>
          </cell>
        </row>
        <row r="70">
          <cell r="S70" t="str">
            <v xml:space="preserve"> - </v>
          </cell>
          <cell r="T70">
            <v>0</v>
          </cell>
        </row>
        <row r="71">
          <cell r="S71" t="str">
            <v xml:space="preserve"> - </v>
          </cell>
          <cell r="T71">
            <v>0</v>
          </cell>
        </row>
        <row r="72">
          <cell r="S72" t="str">
            <v xml:space="preserve"> - </v>
          </cell>
          <cell r="T72">
            <v>0</v>
          </cell>
        </row>
        <row r="73">
          <cell r="S73" t="str">
            <v xml:space="preserve"> - </v>
          </cell>
          <cell r="T73">
            <v>0</v>
          </cell>
        </row>
        <row r="74">
          <cell r="S74" t="str">
            <v xml:space="preserve"> - </v>
          </cell>
          <cell r="T74">
            <v>0</v>
          </cell>
        </row>
        <row r="75">
          <cell r="S75" t="str">
            <v xml:space="preserve"> - </v>
          </cell>
          <cell r="T75">
            <v>0</v>
          </cell>
        </row>
        <row r="76">
          <cell r="S76" t="str">
            <v xml:space="preserve"> - </v>
          </cell>
          <cell r="T76">
            <v>0</v>
          </cell>
        </row>
        <row r="77">
          <cell r="S77" t="str">
            <v xml:space="preserve"> - </v>
          </cell>
          <cell r="T77">
            <v>0</v>
          </cell>
        </row>
        <row r="78">
          <cell r="S78" t="str">
            <v xml:space="preserve"> - </v>
          </cell>
          <cell r="T78">
            <v>0</v>
          </cell>
        </row>
        <row r="79">
          <cell r="S79" t="str">
            <v xml:space="preserve"> - </v>
          </cell>
          <cell r="T79">
            <v>0</v>
          </cell>
        </row>
        <row r="80">
          <cell r="S80" t="str">
            <v xml:space="preserve"> - </v>
          </cell>
          <cell r="T80">
            <v>0</v>
          </cell>
        </row>
        <row r="81">
          <cell r="S81" t="str">
            <v xml:space="preserve"> - </v>
          </cell>
          <cell r="T81">
            <v>0</v>
          </cell>
        </row>
        <row r="82">
          <cell r="S82" t="str">
            <v xml:space="preserve"> - </v>
          </cell>
          <cell r="T82">
            <v>0</v>
          </cell>
        </row>
        <row r="83">
          <cell r="S83" t="str">
            <v xml:space="preserve"> - </v>
          </cell>
          <cell r="T83">
            <v>0</v>
          </cell>
        </row>
        <row r="84">
          <cell r="S84" t="str">
            <v>YTSHD1304 - W47</v>
          </cell>
          <cell r="T84">
            <v>5</v>
          </cell>
        </row>
        <row r="85">
          <cell r="S85" t="str">
            <v xml:space="preserve"> - </v>
          </cell>
          <cell r="T85">
            <v>0</v>
          </cell>
        </row>
        <row r="86">
          <cell r="S86" t="str">
            <v>YTSBD170 - W47</v>
          </cell>
          <cell r="T86">
            <v>6</v>
          </cell>
        </row>
        <row r="87">
          <cell r="S87" t="str">
            <v xml:space="preserve"> - </v>
          </cell>
          <cell r="T87">
            <v>0</v>
          </cell>
        </row>
        <row r="88">
          <cell r="S88" t="str">
            <v xml:space="preserve"> - </v>
          </cell>
          <cell r="T88">
            <v>0</v>
          </cell>
        </row>
        <row r="89">
          <cell r="S89" t="str">
            <v xml:space="preserve"> - </v>
          </cell>
          <cell r="T89">
            <v>0</v>
          </cell>
        </row>
        <row r="90">
          <cell r="S90" t="str">
            <v xml:space="preserve"> - </v>
          </cell>
          <cell r="T90">
            <v>0</v>
          </cell>
        </row>
        <row r="91">
          <cell r="S91" t="str">
            <v>YTSHD1308 - W47</v>
          </cell>
          <cell r="T91">
            <v>14</v>
          </cell>
        </row>
        <row r="92">
          <cell r="S92" t="str">
            <v xml:space="preserve"> - </v>
          </cell>
          <cell r="T92">
            <v>0</v>
          </cell>
        </row>
        <row r="93">
          <cell r="S93" t="str">
            <v xml:space="preserve"> - </v>
          </cell>
          <cell r="T93">
            <v>0</v>
          </cell>
        </row>
        <row r="94">
          <cell r="S94" t="str">
            <v xml:space="preserve"> - </v>
          </cell>
          <cell r="T94">
            <v>0</v>
          </cell>
        </row>
        <row r="95">
          <cell r="S95" t="str">
            <v xml:space="preserve"> - </v>
          </cell>
          <cell r="T95">
            <v>0</v>
          </cell>
        </row>
        <row r="96">
          <cell r="S96" t="str">
            <v>YTSHD1305 - W47</v>
          </cell>
          <cell r="T96">
            <v>18</v>
          </cell>
        </row>
        <row r="97">
          <cell r="S97" t="str">
            <v xml:space="preserve"> - </v>
          </cell>
          <cell r="T97">
            <v>0</v>
          </cell>
        </row>
        <row r="98">
          <cell r="S98" t="str">
            <v xml:space="preserve"> - </v>
          </cell>
          <cell r="T98">
            <v>0</v>
          </cell>
        </row>
        <row r="99">
          <cell r="S99" t="str">
            <v xml:space="preserve"> - </v>
          </cell>
          <cell r="T99">
            <v>0</v>
          </cell>
        </row>
        <row r="100">
          <cell r="S100" t="str">
            <v xml:space="preserve"> - </v>
          </cell>
          <cell r="T100">
            <v>0</v>
          </cell>
        </row>
        <row r="101">
          <cell r="S101" t="str">
            <v xml:space="preserve"> - </v>
          </cell>
          <cell r="T101">
            <v>0</v>
          </cell>
        </row>
        <row r="102">
          <cell r="S102" t="str">
            <v>YTSMG810 - W47</v>
          </cell>
          <cell r="T102">
            <v>5</v>
          </cell>
        </row>
        <row r="103">
          <cell r="S103" t="str">
            <v xml:space="preserve"> - </v>
          </cell>
          <cell r="T103">
            <v>0</v>
          </cell>
        </row>
        <row r="104">
          <cell r="S104" t="str">
            <v xml:space="preserve"> - </v>
          </cell>
          <cell r="T104">
            <v>0</v>
          </cell>
        </row>
        <row r="105">
          <cell r="S105" t="str">
            <v>YTSHD1126 - W47</v>
          </cell>
          <cell r="T105">
            <v>5</v>
          </cell>
        </row>
        <row r="106">
          <cell r="S106" t="str">
            <v xml:space="preserve"> - </v>
          </cell>
          <cell r="T106">
            <v>0</v>
          </cell>
        </row>
        <row r="107">
          <cell r="S107" t="str">
            <v>YTSMG4202 - W47</v>
          </cell>
          <cell r="T107">
            <v>12</v>
          </cell>
        </row>
        <row r="108">
          <cell r="S108" t="str">
            <v xml:space="preserve"> - </v>
          </cell>
          <cell r="T108">
            <v>0</v>
          </cell>
        </row>
        <row r="109">
          <cell r="S109" t="str">
            <v xml:space="preserve"> - </v>
          </cell>
          <cell r="T109">
            <v>0</v>
          </cell>
        </row>
        <row r="110">
          <cell r="S110" t="str">
            <v xml:space="preserve"> - </v>
          </cell>
          <cell r="T110">
            <v>0</v>
          </cell>
        </row>
        <row r="111">
          <cell r="S111" t="str">
            <v>YTSHD1310 - W47</v>
          </cell>
          <cell r="T111">
            <v>36</v>
          </cell>
        </row>
        <row r="112">
          <cell r="S112" t="str">
            <v xml:space="preserve"> - </v>
          </cell>
          <cell r="T112">
            <v>0</v>
          </cell>
        </row>
        <row r="113">
          <cell r="S113" t="str">
            <v xml:space="preserve"> - </v>
          </cell>
          <cell r="T113">
            <v>0</v>
          </cell>
        </row>
        <row r="114">
          <cell r="S114" t="str">
            <v xml:space="preserve"> - </v>
          </cell>
          <cell r="T114">
            <v>0</v>
          </cell>
        </row>
        <row r="115">
          <cell r="S115" t="str">
            <v xml:space="preserve"> - </v>
          </cell>
          <cell r="T115">
            <v>0</v>
          </cell>
        </row>
        <row r="116">
          <cell r="S116" t="str">
            <v xml:space="preserve"> - </v>
          </cell>
          <cell r="T116">
            <v>0</v>
          </cell>
        </row>
        <row r="117">
          <cell r="S117" t="str">
            <v xml:space="preserve"> - </v>
          </cell>
          <cell r="T117">
            <v>0</v>
          </cell>
        </row>
        <row r="118">
          <cell r="S118" t="str">
            <v xml:space="preserve"> - </v>
          </cell>
          <cell r="T118">
            <v>0</v>
          </cell>
        </row>
        <row r="119">
          <cell r="S119" t="str">
            <v xml:space="preserve"> - </v>
          </cell>
          <cell r="T119">
            <v>0</v>
          </cell>
        </row>
        <row r="120">
          <cell r="S120" t="str">
            <v xml:space="preserve"> - </v>
          </cell>
          <cell r="T120">
            <v>0</v>
          </cell>
        </row>
        <row r="121">
          <cell r="S121" t="str">
            <v xml:space="preserve"> - </v>
          </cell>
          <cell r="T121">
            <v>0</v>
          </cell>
        </row>
        <row r="122">
          <cell r="S122" t="str">
            <v xml:space="preserve"> - </v>
          </cell>
          <cell r="T122">
            <v>0</v>
          </cell>
        </row>
        <row r="123">
          <cell r="S123" t="str">
            <v xml:space="preserve"> - </v>
          </cell>
          <cell r="T123">
            <v>0</v>
          </cell>
        </row>
        <row r="124">
          <cell r="S124" t="str">
            <v xml:space="preserve"> - </v>
          </cell>
          <cell r="T124">
            <v>0</v>
          </cell>
        </row>
        <row r="125">
          <cell r="S125" t="str">
            <v xml:space="preserve"> - </v>
          </cell>
          <cell r="T125">
            <v>0</v>
          </cell>
        </row>
        <row r="126">
          <cell r="S126" t="str">
            <v>YTSHD627 - W47</v>
          </cell>
          <cell r="T126">
            <v>5</v>
          </cell>
        </row>
        <row r="127">
          <cell r="S127" t="str">
            <v xml:space="preserve"> - </v>
          </cell>
          <cell r="T127">
            <v>0</v>
          </cell>
        </row>
        <row r="128">
          <cell r="S128" t="str">
            <v>YTSHD624 - W47</v>
          </cell>
          <cell r="T128">
            <v>60</v>
          </cell>
        </row>
        <row r="129">
          <cell r="S129" t="str">
            <v xml:space="preserve"> - </v>
          </cell>
          <cell r="T129">
            <v>0</v>
          </cell>
        </row>
        <row r="130">
          <cell r="S130" t="str">
            <v xml:space="preserve"> - </v>
          </cell>
          <cell r="T130">
            <v>0</v>
          </cell>
        </row>
        <row r="131">
          <cell r="S131" t="str">
            <v xml:space="preserve"> - </v>
          </cell>
          <cell r="T131">
            <v>0</v>
          </cell>
        </row>
        <row r="132">
          <cell r="S132" t="str">
            <v xml:space="preserve"> - </v>
          </cell>
          <cell r="T132">
            <v>0</v>
          </cell>
        </row>
        <row r="133">
          <cell r="S133" t="str">
            <v xml:space="preserve"> - </v>
          </cell>
          <cell r="T133">
            <v>0</v>
          </cell>
        </row>
        <row r="134">
          <cell r="S134" t="str">
            <v xml:space="preserve"> - </v>
          </cell>
          <cell r="T134">
            <v>0</v>
          </cell>
        </row>
        <row r="135">
          <cell r="S135" t="str">
            <v xml:space="preserve"> - </v>
          </cell>
          <cell r="T135">
            <v>0</v>
          </cell>
        </row>
        <row r="136">
          <cell r="S136" t="str">
            <v xml:space="preserve"> - </v>
          </cell>
          <cell r="T136">
            <v>0</v>
          </cell>
        </row>
        <row r="137">
          <cell r="S137" t="str">
            <v xml:space="preserve"> - </v>
          </cell>
          <cell r="T137">
            <v>0</v>
          </cell>
        </row>
        <row r="138">
          <cell r="S138" t="str">
            <v xml:space="preserve"> - </v>
          </cell>
          <cell r="T138">
            <v>0</v>
          </cell>
        </row>
        <row r="139">
          <cell r="S139" t="str">
            <v xml:space="preserve"> - </v>
          </cell>
          <cell r="T139">
            <v>0</v>
          </cell>
        </row>
        <row r="140">
          <cell r="S140" t="str">
            <v xml:space="preserve"> - </v>
          </cell>
          <cell r="T140">
            <v>0</v>
          </cell>
        </row>
        <row r="141">
          <cell r="S141" t="str">
            <v xml:space="preserve"> - </v>
          </cell>
          <cell r="T141">
            <v>0</v>
          </cell>
        </row>
        <row r="142">
          <cell r="S142" t="str">
            <v xml:space="preserve"> - </v>
          </cell>
          <cell r="T142">
            <v>0</v>
          </cell>
        </row>
        <row r="143">
          <cell r="S143" t="str">
            <v xml:space="preserve"> - </v>
          </cell>
          <cell r="T143">
            <v>0</v>
          </cell>
        </row>
        <row r="144">
          <cell r="S144" t="str">
            <v>YTSHD6402 - W47</v>
          </cell>
          <cell r="T144">
            <v>5</v>
          </cell>
        </row>
        <row r="145">
          <cell r="S145" t="str">
            <v xml:space="preserve"> - </v>
          </cell>
          <cell r="T145">
            <v>0</v>
          </cell>
        </row>
        <row r="146">
          <cell r="S146" t="str">
            <v>YTSHD1106 - W47</v>
          </cell>
          <cell r="T146">
            <v>5</v>
          </cell>
        </row>
        <row r="147">
          <cell r="S147" t="str">
            <v xml:space="preserve"> - </v>
          </cell>
          <cell r="T147">
            <v>0</v>
          </cell>
        </row>
        <row r="148">
          <cell r="S148" t="str">
            <v>YTSHD1107 - W47</v>
          </cell>
          <cell r="T148">
            <v>20</v>
          </cell>
        </row>
        <row r="149">
          <cell r="S149" t="str">
            <v xml:space="preserve"> - </v>
          </cell>
          <cell r="T149">
            <v>0</v>
          </cell>
        </row>
        <row r="150">
          <cell r="S150" t="str">
            <v xml:space="preserve"> - </v>
          </cell>
          <cell r="T150">
            <v>0</v>
          </cell>
        </row>
        <row r="151">
          <cell r="S151" t="str">
            <v xml:space="preserve"> - </v>
          </cell>
          <cell r="T151">
            <v>0</v>
          </cell>
        </row>
        <row r="152">
          <cell r="S152" t="str">
            <v xml:space="preserve"> - </v>
          </cell>
          <cell r="T152">
            <v>0</v>
          </cell>
        </row>
        <row r="153">
          <cell r="S153" t="str">
            <v xml:space="preserve"> - </v>
          </cell>
          <cell r="T153">
            <v>0</v>
          </cell>
        </row>
        <row r="154">
          <cell r="S154" t="str">
            <v xml:space="preserve"> - </v>
          </cell>
          <cell r="T154">
            <v>0</v>
          </cell>
        </row>
        <row r="155">
          <cell r="S155" t="str">
            <v>YTSHD1302 - W47</v>
          </cell>
          <cell r="T155">
            <v>36</v>
          </cell>
        </row>
        <row r="156">
          <cell r="S156" t="str">
            <v xml:space="preserve"> - </v>
          </cell>
          <cell r="T156">
            <v>0</v>
          </cell>
        </row>
        <row r="157">
          <cell r="S157" t="str">
            <v xml:space="preserve"> - </v>
          </cell>
          <cell r="T157">
            <v>0</v>
          </cell>
        </row>
        <row r="158">
          <cell r="S158" t="str">
            <v xml:space="preserve"> - </v>
          </cell>
          <cell r="T158">
            <v>0</v>
          </cell>
        </row>
        <row r="159">
          <cell r="S159" t="str">
            <v xml:space="preserve"> - </v>
          </cell>
          <cell r="T159">
            <v>0</v>
          </cell>
        </row>
        <row r="160">
          <cell r="S160" t="str">
            <v xml:space="preserve"> - </v>
          </cell>
          <cell r="T160">
            <v>0</v>
          </cell>
        </row>
        <row r="161">
          <cell r="S161" t="str">
            <v xml:space="preserve"> - </v>
          </cell>
          <cell r="T161">
            <v>0</v>
          </cell>
        </row>
        <row r="162">
          <cell r="S162" t="str">
            <v xml:space="preserve"> - </v>
          </cell>
          <cell r="T162">
            <v>0</v>
          </cell>
        </row>
        <row r="163">
          <cell r="S163" t="str">
            <v xml:space="preserve"> - </v>
          </cell>
          <cell r="T163">
            <v>0</v>
          </cell>
        </row>
        <row r="164">
          <cell r="S164" t="str">
            <v xml:space="preserve"> - </v>
          </cell>
          <cell r="T164">
            <v>0</v>
          </cell>
        </row>
        <row r="165">
          <cell r="S165" t="str">
            <v xml:space="preserve"> - </v>
          </cell>
          <cell r="T165">
            <v>0</v>
          </cell>
        </row>
        <row r="166">
          <cell r="S166" t="str">
            <v xml:space="preserve"> - </v>
          </cell>
          <cell r="T166">
            <v>0</v>
          </cell>
        </row>
        <row r="167">
          <cell r="S167" t="str">
            <v xml:space="preserve"> - </v>
          </cell>
          <cell r="T167">
            <v>0</v>
          </cell>
        </row>
        <row r="168">
          <cell r="S168" t="str">
            <v xml:space="preserve"> - </v>
          </cell>
          <cell r="T168">
            <v>0</v>
          </cell>
        </row>
        <row r="169">
          <cell r="S169" t="str">
            <v xml:space="preserve"> - </v>
          </cell>
          <cell r="T169">
            <v>0</v>
          </cell>
        </row>
        <row r="170">
          <cell r="S170" t="str">
            <v>YTSHD1306 - W47</v>
          </cell>
          <cell r="T170">
            <v>5</v>
          </cell>
        </row>
        <row r="171">
          <cell r="S171" t="str">
            <v xml:space="preserve"> - </v>
          </cell>
          <cell r="T171">
            <v>0</v>
          </cell>
        </row>
        <row r="172">
          <cell r="S172" t="str">
            <v>YTSBD3202 - W47</v>
          </cell>
          <cell r="T172">
            <v>336</v>
          </cell>
        </row>
        <row r="173">
          <cell r="S173" t="str">
            <v xml:space="preserve"> - </v>
          </cell>
          <cell r="T173">
            <v>0</v>
          </cell>
        </row>
        <row r="174">
          <cell r="S174" t="str">
            <v xml:space="preserve"> - </v>
          </cell>
          <cell r="T174">
            <v>0</v>
          </cell>
        </row>
        <row r="175">
          <cell r="S175" t="str">
            <v xml:space="preserve"> - </v>
          </cell>
          <cell r="T175">
            <v>0</v>
          </cell>
        </row>
        <row r="176">
          <cell r="S176" t="str">
            <v xml:space="preserve"> - </v>
          </cell>
          <cell r="T176">
            <v>0</v>
          </cell>
        </row>
        <row r="177">
          <cell r="S177" t="str">
            <v xml:space="preserve"> - </v>
          </cell>
          <cell r="T177">
            <v>0</v>
          </cell>
        </row>
        <row r="178">
          <cell r="S178" t="str">
            <v xml:space="preserve"> - </v>
          </cell>
          <cell r="T178">
            <v>0</v>
          </cell>
        </row>
        <row r="179">
          <cell r="S179" t="str">
            <v xml:space="preserve"> - </v>
          </cell>
          <cell r="T179">
            <v>0</v>
          </cell>
        </row>
        <row r="180">
          <cell r="S180" t="str">
            <v xml:space="preserve"> - </v>
          </cell>
          <cell r="T180">
            <v>0</v>
          </cell>
        </row>
        <row r="181">
          <cell r="S181" t="str">
            <v xml:space="preserve"> - </v>
          </cell>
          <cell r="T181">
            <v>0</v>
          </cell>
        </row>
        <row r="182">
          <cell r="S182" t="str">
            <v xml:space="preserve"> - </v>
          </cell>
          <cell r="T182">
            <v>0</v>
          </cell>
        </row>
        <row r="183">
          <cell r="S183" t="str">
            <v xml:space="preserve"> - </v>
          </cell>
          <cell r="T183">
            <v>0</v>
          </cell>
        </row>
        <row r="184">
          <cell r="S184" t="str">
            <v xml:space="preserve"> - </v>
          </cell>
          <cell r="T184">
            <v>0</v>
          </cell>
        </row>
        <row r="185">
          <cell r="S185" t="str">
            <v xml:space="preserve"> - </v>
          </cell>
          <cell r="T185">
            <v>0</v>
          </cell>
        </row>
        <row r="186">
          <cell r="S186" t="str">
            <v xml:space="preserve"> - </v>
          </cell>
          <cell r="T186">
            <v>0</v>
          </cell>
        </row>
        <row r="187">
          <cell r="S187" t="str">
            <v xml:space="preserve"> - </v>
          </cell>
          <cell r="T187">
            <v>0</v>
          </cell>
        </row>
        <row r="188">
          <cell r="S188" t="str">
            <v xml:space="preserve"> - </v>
          </cell>
          <cell r="T188">
            <v>0</v>
          </cell>
        </row>
        <row r="189">
          <cell r="S189" t="str">
            <v xml:space="preserve"> - </v>
          </cell>
          <cell r="T189">
            <v>0</v>
          </cell>
        </row>
        <row r="190">
          <cell r="S190" t="str">
            <v xml:space="preserve"> - </v>
          </cell>
          <cell r="T190">
            <v>0</v>
          </cell>
        </row>
        <row r="191">
          <cell r="S191" t="str">
            <v xml:space="preserve"> - </v>
          </cell>
          <cell r="T191">
            <v>0</v>
          </cell>
        </row>
        <row r="192">
          <cell r="S192" t="str">
            <v xml:space="preserve"> - </v>
          </cell>
          <cell r="T192">
            <v>0</v>
          </cell>
        </row>
        <row r="193">
          <cell r="S193" t="str">
            <v xml:space="preserve"> - </v>
          </cell>
          <cell r="T193">
            <v>0</v>
          </cell>
        </row>
        <row r="194">
          <cell r="S194" t="str">
            <v xml:space="preserve"> - </v>
          </cell>
          <cell r="T194">
            <v>0</v>
          </cell>
        </row>
        <row r="195">
          <cell r="S195" t="str">
            <v xml:space="preserve"> - </v>
          </cell>
          <cell r="T195">
            <v>0</v>
          </cell>
        </row>
        <row r="196">
          <cell r="S196" t="str">
            <v xml:space="preserve"> - </v>
          </cell>
          <cell r="T196">
            <v>0</v>
          </cell>
        </row>
        <row r="197">
          <cell r="S197" t="str">
            <v xml:space="preserve"> - </v>
          </cell>
          <cell r="T197">
            <v>0</v>
          </cell>
        </row>
        <row r="198">
          <cell r="S198" t="str">
            <v xml:space="preserve"> - </v>
          </cell>
          <cell r="T198">
            <v>0</v>
          </cell>
        </row>
        <row r="199">
          <cell r="S199" t="str">
            <v xml:space="preserve"> - </v>
          </cell>
          <cell r="T199">
            <v>0</v>
          </cell>
        </row>
        <row r="200">
          <cell r="S200" t="str">
            <v xml:space="preserve"> - </v>
          </cell>
          <cell r="T200">
            <v>0</v>
          </cell>
        </row>
        <row r="201">
          <cell r="S201" t="str">
            <v xml:space="preserve"> - </v>
          </cell>
          <cell r="T201">
            <v>0</v>
          </cell>
        </row>
        <row r="202">
          <cell r="S202" t="str">
            <v xml:space="preserve"> - </v>
          </cell>
          <cell r="T202">
            <v>0</v>
          </cell>
        </row>
        <row r="203">
          <cell r="S203" t="str">
            <v xml:space="preserve"> - </v>
          </cell>
          <cell r="T203">
            <v>0</v>
          </cell>
        </row>
        <row r="204">
          <cell r="S204" t="str">
            <v xml:space="preserve"> - </v>
          </cell>
          <cell r="T204">
            <v>0</v>
          </cell>
        </row>
        <row r="205">
          <cell r="S205" t="str">
            <v xml:space="preserve"> - </v>
          </cell>
          <cell r="T205">
            <v>0</v>
          </cell>
        </row>
        <row r="206">
          <cell r="S206" t="str">
            <v>YTSHD1156 - W47</v>
          </cell>
          <cell r="T206">
            <v>6</v>
          </cell>
        </row>
        <row r="207">
          <cell r="S207" t="str">
            <v xml:space="preserve"> - </v>
          </cell>
          <cell r="T207">
            <v>0</v>
          </cell>
        </row>
        <row r="208">
          <cell r="S208" t="str">
            <v xml:space="preserve"> - </v>
          </cell>
          <cell r="T208">
            <v>0</v>
          </cell>
        </row>
        <row r="209">
          <cell r="S209" t="str">
            <v>YTSHD1129 - W47</v>
          </cell>
          <cell r="T209">
            <v>20</v>
          </cell>
        </row>
        <row r="210">
          <cell r="S210" t="str">
            <v xml:space="preserve"> - </v>
          </cell>
          <cell r="T210">
            <v>0</v>
          </cell>
        </row>
        <row r="211">
          <cell r="S211" t="str">
            <v xml:space="preserve"> - </v>
          </cell>
          <cell r="T211">
            <v>0</v>
          </cell>
        </row>
        <row r="212">
          <cell r="S212" t="str">
            <v xml:space="preserve"> - </v>
          </cell>
          <cell r="T212">
            <v>0</v>
          </cell>
        </row>
        <row r="213">
          <cell r="S213" t="str">
            <v xml:space="preserve"> - </v>
          </cell>
          <cell r="T213">
            <v>0</v>
          </cell>
        </row>
        <row r="214">
          <cell r="S214" t="str">
            <v xml:space="preserve"> - </v>
          </cell>
          <cell r="T214">
            <v>0</v>
          </cell>
        </row>
        <row r="215">
          <cell r="S215" t="str">
            <v xml:space="preserve"> - </v>
          </cell>
          <cell r="T215">
            <v>0</v>
          </cell>
        </row>
        <row r="216">
          <cell r="S216" t="str">
            <v xml:space="preserve"> - </v>
          </cell>
          <cell r="T216">
            <v>0</v>
          </cell>
        </row>
        <row r="217">
          <cell r="S217" t="str">
            <v xml:space="preserve"> - </v>
          </cell>
          <cell r="T217">
            <v>0</v>
          </cell>
        </row>
        <row r="218">
          <cell r="S218" t="str">
            <v>YTSHD1151 - W47</v>
          </cell>
          <cell r="T218">
            <v>5</v>
          </cell>
        </row>
        <row r="219">
          <cell r="S219" t="str">
            <v xml:space="preserve"> - </v>
          </cell>
          <cell r="T219">
            <v>0</v>
          </cell>
        </row>
        <row r="220">
          <cell r="S220" t="str">
            <v>YTSHD633 - W47</v>
          </cell>
          <cell r="T220">
            <v>36</v>
          </cell>
        </row>
        <row r="221">
          <cell r="S221" t="str">
            <v xml:space="preserve"> - </v>
          </cell>
          <cell r="T221">
            <v>0</v>
          </cell>
        </row>
        <row r="222">
          <cell r="S222" t="str">
            <v xml:space="preserve"> - </v>
          </cell>
          <cell r="T222">
            <v>0</v>
          </cell>
        </row>
        <row r="223">
          <cell r="S223" t="str">
            <v xml:space="preserve"> - </v>
          </cell>
          <cell r="T223">
            <v>0</v>
          </cell>
        </row>
        <row r="224">
          <cell r="S224" t="str">
            <v xml:space="preserve"> - </v>
          </cell>
          <cell r="T224">
            <v>0</v>
          </cell>
        </row>
        <row r="225">
          <cell r="S225" t="str">
            <v xml:space="preserve"> - </v>
          </cell>
          <cell r="T225">
            <v>0</v>
          </cell>
        </row>
        <row r="226">
          <cell r="S226" t="str">
            <v xml:space="preserve"> - </v>
          </cell>
          <cell r="T226">
            <v>0</v>
          </cell>
        </row>
        <row r="227">
          <cell r="S227" t="str">
            <v xml:space="preserve"> - </v>
          </cell>
          <cell r="T227">
            <v>0</v>
          </cell>
        </row>
        <row r="228">
          <cell r="S228" t="str">
            <v xml:space="preserve"> - </v>
          </cell>
          <cell r="T228">
            <v>0</v>
          </cell>
        </row>
        <row r="229">
          <cell r="S229" t="str">
            <v xml:space="preserve"> - </v>
          </cell>
          <cell r="T229">
            <v>0</v>
          </cell>
        </row>
        <row r="230">
          <cell r="S230" t="str">
            <v xml:space="preserve"> - </v>
          </cell>
          <cell r="T230">
            <v>0</v>
          </cell>
        </row>
        <row r="231">
          <cell r="S231" t="str">
            <v xml:space="preserve"> - </v>
          </cell>
          <cell r="T231">
            <v>0</v>
          </cell>
        </row>
        <row r="232">
          <cell r="S232" t="str">
            <v xml:space="preserve"> - </v>
          </cell>
          <cell r="T232">
            <v>0</v>
          </cell>
        </row>
        <row r="233">
          <cell r="S233" t="str">
            <v xml:space="preserve"> - </v>
          </cell>
          <cell r="T233">
            <v>0</v>
          </cell>
        </row>
        <row r="234">
          <cell r="S234" t="str">
            <v xml:space="preserve"> - </v>
          </cell>
          <cell r="T234">
            <v>0</v>
          </cell>
        </row>
        <row r="235">
          <cell r="S235" t="str">
            <v xml:space="preserve"> - </v>
          </cell>
          <cell r="T235">
            <v>0</v>
          </cell>
        </row>
        <row r="236">
          <cell r="S236" t="str">
            <v xml:space="preserve"> - </v>
          </cell>
          <cell r="T236">
            <v>0</v>
          </cell>
        </row>
        <row r="237">
          <cell r="S237" t="str">
            <v xml:space="preserve"> - </v>
          </cell>
          <cell r="T237">
            <v>0</v>
          </cell>
        </row>
        <row r="238">
          <cell r="S238" t="str">
            <v>YTSHD1101 - W47</v>
          </cell>
          <cell r="T238">
            <v>5</v>
          </cell>
        </row>
        <row r="239">
          <cell r="S239" t="str">
            <v xml:space="preserve"> - </v>
          </cell>
          <cell r="T239">
            <v>0</v>
          </cell>
        </row>
        <row r="240">
          <cell r="S240" t="str">
            <v>YTSHD636 - W47</v>
          </cell>
          <cell r="T240">
            <v>6</v>
          </cell>
        </row>
        <row r="241">
          <cell r="S241" t="str">
            <v xml:space="preserve"> - </v>
          </cell>
          <cell r="T241">
            <v>0</v>
          </cell>
        </row>
        <row r="242">
          <cell r="S242" t="str">
            <v xml:space="preserve"> - </v>
          </cell>
          <cell r="T242">
            <v>0</v>
          </cell>
        </row>
        <row r="243">
          <cell r="S243" t="str">
            <v>YTSHD1146 - W47</v>
          </cell>
          <cell r="T243">
            <v>36</v>
          </cell>
        </row>
        <row r="244">
          <cell r="S244" t="str">
            <v xml:space="preserve"> - </v>
          </cell>
          <cell r="T244">
            <v>0</v>
          </cell>
        </row>
        <row r="245">
          <cell r="S245" t="str">
            <v xml:space="preserve"> - </v>
          </cell>
          <cell r="T245">
            <v>0</v>
          </cell>
        </row>
        <row r="246">
          <cell r="S246" t="str">
            <v xml:space="preserve"> - </v>
          </cell>
          <cell r="T246">
            <v>0</v>
          </cell>
        </row>
        <row r="247">
          <cell r="S247" t="str">
            <v xml:space="preserve"> - </v>
          </cell>
          <cell r="T247">
            <v>0</v>
          </cell>
        </row>
        <row r="248">
          <cell r="S248" t="str">
            <v xml:space="preserve"> - </v>
          </cell>
          <cell r="T248">
            <v>0</v>
          </cell>
        </row>
        <row r="249">
          <cell r="S249" t="str">
            <v xml:space="preserve"> - </v>
          </cell>
          <cell r="T249">
            <v>0</v>
          </cell>
        </row>
        <row r="250">
          <cell r="S250" t="str">
            <v xml:space="preserve"> - </v>
          </cell>
          <cell r="T250">
            <v>0</v>
          </cell>
        </row>
        <row r="251">
          <cell r="S251" t="str">
            <v xml:space="preserve"> - </v>
          </cell>
          <cell r="T251">
            <v>0</v>
          </cell>
        </row>
        <row r="252">
          <cell r="S252" t="str">
            <v>YTSHD6403 - W47</v>
          </cell>
          <cell r="T252">
            <v>5</v>
          </cell>
        </row>
        <row r="253">
          <cell r="S253" t="str">
            <v xml:space="preserve"> - </v>
          </cell>
          <cell r="T253">
            <v>0</v>
          </cell>
        </row>
        <row r="254">
          <cell r="S254" t="str">
            <v>YTSHD1315 - W47</v>
          </cell>
          <cell r="T254">
            <v>5</v>
          </cell>
        </row>
        <row r="255">
          <cell r="S255" t="str">
            <v xml:space="preserve"> - </v>
          </cell>
          <cell r="T255">
            <v>0</v>
          </cell>
        </row>
        <row r="256">
          <cell r="S256" t="str">
            <v>YTSBD3215 - W47</v>
          </cell>
          <cell r="T256">
            <v>6</v>
          </cell>
        </row>
        <row r="257">
          <cell r="S257" t="str">
            <v xml:space="preserve"> - </v>
          </cell>
          <cell r="T257">
            <v>0</v>
          </cell>
        </row>
        <row r="258">
          <cell r="S258" t="str">
            <v xml:space="preserve"> - </v>
          </cell>
          <cell r="T258">
            <v>0</v>
          </cell>
        </row>
        <row r="259">
          <cell r="S259" t="str">
            <v>YTSHD1147 - W47</v>
          </cell>
          <cell r="T259">
            <v>18</v>
          </cell>
        </row>
        <row r="260">
          <cell r="S260" t="str">
            <v xml:space="preserve"> - </v>
          </cell>
          <cell r="T260">
            <v>0</v>
          </cell>
        </row>
        <row r="261">
          <cell r="S261" t="str">
            <v xml:space="preserve"> - </v>
          </cell>
          <cell r="T261">
            <v>0</v>
          </cell>
        </row>
        <row r="262">
          <cell r="S262" t="str">
            <v xml:space="preserve"> - </v>
          </cell>
          <cell r="T262">
            <v>0</v>
          </cell>
        </row>
        <row r="263">
          <cell r="S263" t="str">
            <v xml:space="preserve"> - </v>
          </cell>
          <cell r="T263">
            <v>0</v>
          </cell>
        </row>
        <row r="264">
          <cell r="S264" t="str">
            <v xml:space="preserve"> - </v>
          </cell>
          <cell r="T264">
            <v>0</v>
          </cell>
        </row>
        <row r="265">
          <cell r="S265" t="str">
            <v xml:space="preserve"> - </v>
          </cell>
          <cell r="T265">
            <v>0</v>
          </cell>
        </row>
        <row r="266">
          <cell r="S266" t="str">
            <v xml:space="preserve"> - </v>
          </cell>
          <cell r="T266">
            <v>0</v>
          </cell>
        </row>
        <row r="267">
          <cell r="S267" t="str">
            <v>YTSHD1157 - W47</v>
          </cell>
          <cell r="T267">
            <v>5</v>
          </cell>
        </row>
        <row r="268">
          <cell r="S268" t="str">
            <v xml:space="preserve"> - </v>
          </cell>
          <cell r="T268">
            <v>0</v>
          </cell>
        </row>
        <row r="269">
          <cell r="S269" t="str">
            <v>YTSHD6406 - W47</v>
          </cell>
          <cell r="T269">
            <v>5</v>
          </cell>
        </row>
        <row r="270">
          <cell r="S270" t="str">
            <v xml:space="preserve"> - </v>
          </cell>
          <cell r="T270">
            <v>0</v>
          </cell>
        </row>
        <row r="271">
          <cell r="S271" t="str">
            <v>YTSHD626 - W47</v>
          </cell>
          <cell r="T271">
            <v>5</v>
          </cell>
        </row>
        <row r="272">
          <cell r="S272" t="str">
            <v xml:space="preserve"> - </v>
          </cell>
          <cell r="T272">
            <v>0</v>
          </cell>
        </row>
        <row r="273">
          <cell r="S273" t="str">
            <v>YTSHD1108 - W47</v>
          </cell>
          <cell r="T273">
            <v>5</v>
          </cell>
        </row>
        <row r="274">
          <cell r="S274" t="str">
            <v xml:space="preserve"> - </v>
          </cell>
          <cell r="T274">
            <v>0</v>
          </cell>
        </row>
        <row r="275">
          <cell r="S275" t="str">
            <v xml:space="preserve">13 November 2015  14:22:19 - </v>
          </cell>
          <cell r="T275">
            <v>0</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utorial"/>
      <sheetName val="WorkPlan2"/>
      <sheetName val="DailyWeeklyPlan"/>
      <sheetName val="WWP Report"/>
      <sheetName val="DDTL"/>
      <sheetName val="785C"/>
      <sheetName val="777D"/>
      <sheetName val="24M"/>
      <sheetName val="Overlap"/>
      <sheetName val="UNA785C"/>
      <sheetName val="UNA777D"/>
      <sheetName val="UNA24M"/>
      <sheetName val="Pre_GantChart"/>
      <sheetName val="GantChart"/>
      <sheetName val="Judul"/>
    </sheetNames>
    <sheetDataSet>
      <sheetData sheetId="0"/>
      <sheetData sheetId="1"/>
      <sheetData sheetId="2">
        <row r="4">
          <cell r="S4" t="str">
            <v xml:space="preserve">IPHDCT78004 - </v>
          </cell>
          <cell r="T4">
            <v>171.31299999999999</v>
          </cell>
        </row>
        <row r="5">
          <cell r="S5" t="str">
            <v xml:space="preserve"> - </v>
          </cell>
          <cell r="T5">
            <v>0</v>
          </cell>
        </row>
        <row r="6">
          <cell r="S6" t="str">
            <v xml:space="preserve"> - </v>
          </cell>
          <cell r="T6">
            <v>0</v>
          </cell>
        </row>
        <row r="7">
          <cell r="S7" t="str">
            <v xml:space="preserve"> - </v>
          </cell>
          <cell r="T7">
            <v>0</v>
          </cell>
        </row>
        <row r="8">
          <cell r="S8" t="str">
            <v xml:space="preserve"> - </v>
          </cell>
          <cell r="T8">
            <v>0</v>
          </cell>
        </row>
        <row r="9">
          <cell r="S9" t="str">
            <v xml:space="preserve"> - </v>
          </cell>
          <cell r="T9">
            <v>0</v>
          </cell>
        </row>
        <row r="10">
          <cell r="S10" t="str">
            <v xml:space="preserve"> - </v>
          </cell>
          <cell r="T10">
            <v>0</v>
          </cell>
        </row>
        <row r="11">
          <cell r="S11" t="str">
            <v xml:space="preserve"> - </v>
          </cell>
          <cell r="T11">
            <v>0</v>
          </cell>
        </row>
        <row r="12">
          <cell r="S12" t="str">
            <v xml:space="preserve"> - </v>
          </cell>
          <cell r="T12">
            <v>0</v>
          </cell>
        </row>
        <row r="13">
          <cell r="S13" t="str">
            <v xml:space="preserve"> - </v>
          </cell>
          <cell r="T13">
            <v>0</v>
          </cell>
        </row>
        <row r="14">
          <cell r="S14" t="str">
            <v xml:space="preserve"> - </v>
          </cell>
          <cell r="T14">
            <v>0</v>
          </cell>
        </row>
        <row r="15">
          <cell r="S15" t="str">
            <v xml:space="preserve"> - </v>
          </cell>
          <cell r="T15">
            <v>0</v>
          </cell>
        </row>
        <row r="16">
          <cell r="S16" t="str">
            <v xml:space="preserve"> - </v>
          </cell>
          <cell r="T16">
            <v>0</v>
          </cell>
        </row>
        <row r="17">
          <cell r="S17" t="str">
            <v xml:space="preserve"> - </v>
          </cell>
          <cell r="T17">
            <v>0</v>
          </cell>
        </row>
        <row r="18">
          <cell r="S18" t="str">
            <v xml:space="preserve"> - </v>
          </cell>
          <cell r="T18">
            <v>0</v>
          </cell>
        </row>
        <row r="19">
          <cell r="S19" t="str">
            <v xml:space="preserve"> - </v>
          </cell>
          <cell r="T19">
            <v>0</v>
          </cell>
        </row>
        <row r="20">
          <cell r="S20" t="str">
            <v xml:space="preserve"> - </v>
          </cell>
          <cell r="T20">
            <v>0</v>
          </cell>
        </row>
        <row r="21">
          <cell r="S21" t="str">
            <v xml:space="preserve"> - </v>
          </cell>
          <cell r="T21">
            <v>0</v>
          </cell>
        </row>
        <row r="22">
          <cell r="S22" t="str">
            <v xml:space="preserve"> - </v>
          </cell>
          <cell r="T22">
            <v>0</v>
          </cell>
        </row>
        <row r="23">
          <cell r="S23" t="str">
            <v xml:space="preserve"> - </v>
          </cell>
          <cell r="T23">
            <v>0</v>
          </cell>
        </row>
        <row r="24">
          <cell r="S24" t="str">
            <v xml:space="preserve"> - </v>
          </cell>
          <cell r="T24">
            <v>0</v>
          </cell>
        </row>
        <row r="25">
          <cell r="S25" t="str">
            <v xml:space="preserve"> - </v>
          </cell>
          <cell r="T25">
            <v>0</v>
          </cell>
        </row>
        <row r="26">
          <cell r="S26" t="str">
            <v xml:space="preserve"> - </v>
          </cell>
          <cell r="T26">
            <v>0</v>
          </cell>
        </row>
        <row r="27">
          <cell r="S27" t="str">
            <v xml:space="preserve"> - </v>
          </cell>
          <cell r="T27">
            <v>0</v>
          </cell>
        </row>
        <row r="28">
          <cell r="S28" t="str">
            <v xml:space="preserve"> - </v>
          </cell>
          <cell r="T28">
            <v>0</v>
          </cell>
        </row>
        <row r="29">
          <cell r="S29" t="str">
            <v xml:space="preserve"> - </v>
          </cell>
          <cell r="T29">
            <v>0</v>
          </cell>
        </row>
        <row r="30">
          <cell r="S30" t="str">
            <v xml:space="preserve"> - </v>
          </cell>
          <cell r="T30">
            <v>0</v>
          </cell>
        </row>
        <row r="31">
          <cell r="S31" t="str">
            <v xml:space="preserve"> - </v>
          </cell>
          <cell r="T31">
            <v>0</v>
          </cell>
        </row>
        <row r="32">
          <cell r="S32" t="str">
            <v xml:space="preserve"> - </v>
          </cell>
          <cell r="T32">
            <v>0</v>
          </cell>
        </row>
        <row r="33">
          <cell r="S33" t="str">
            <v xml:space="preserve"> - </v>
          </cell>
          <cell r="T33">
            <v>0</v>
          </cell>
        </row>
        <row r="34">
          <cell r="S34" t="str">
            <v xml:space="preserve"> - </v>
          </cell>
          <cell r="T34">
            <v>0</v>
          </cell>
        </row>
        <row r="35">
          <cell r="S35" t="str">
            <v xml:space="preserve">YTSHDCT77046 - </v>
          </cell>
          <cell r="T35">
            <v>36</v>
          </cell>
        </row>
        <row r="36">
          <cell r="S36" t="str">
            <v xml:space="preserve"> - </v>
          </cell>
          <cell r="T36">
            <v>0</v>
          </cell>
        </row>
        <row r="37">
          <cell r="S37" t="str">
            <v xml:space="preserve"> - </v>
          </cell>
          <cell r="T37">
            <v>0</v>
          </cell>
        </row>
        <row r="38">
          <cell r="S38" t="str">
            <v xml:space="preserve"> - </v>
          </cell>
          <cell r="T38">
            <v>0</v>
          </cell>
        </row>
        <row r="39">
          <cell r="S39" t="str">
            <v xml:space="preserve"> - </v>
          </cell>
          <cell r="T39">
            <v>0</v>
          </cell>
        </row>
        <row r="40">
          <cell r="S40" t="str">
            <v xml:space="preserve"> - </v>
          </cell>
          <cell r="T40">
            <v>0</v>
          </cell>
        </row>
        <row r="41">
          <cell r="S41" t="str">
            <v xml:space="preserve"> - </v>
          </cell>
          <cell r="T41">
            <v>0</v>
          </cell>
        </row>
        <row r="42">
          <cell r="S42" t="str">
            <v xml:space="preserve"> - </v>
          </cell>
          <cell r="T42">
            <v>0</v>
          </cell>
        </row>
        <row r="43">
          <cell r="S43" t="str">
            <v xml:space="preserve">YTSHDCT78001 - </v>
          </cell>
          <cell r="T43">
            <v>20</v>
          </cell>
        </row>
        <row r="44">
          <cell r="S44" t="str">
            <v xml:space="preserve"> - </v>
          </cell>
          <cell r="T44">
            <v>0</v>
          </cell>
        </row>
        <row r="45">
          <cell r="S45" t="str">
            <v xml:space="preserve"> - </v>
          </cell>
          <cell r="T45">
            <v>0</v>
          </cell>
        </row>
        <row r="46">
          <cell r="S46" t="str">
            <v xml:space="preserve"> - </v>
          </cell>
          <cell r="T46">
            <v>0</v>
          </cell>
        </row>
        <row r="47">
          <cell r="S47" t="str">
            <v xml:space="preserve"> - </v>
          </cell>
          <cell r="T47">
            <v>0</v>
          </cell>
        </row>
        <row r="48">
          <cell r="S48" t="str">
            <v xml:space="preserve"> - </v>
          </cell>
          <cell r="T48">
            <v>0</v>
          </cell>
        </row>
        <row r="49">
          <cell r="S49" t="str">
            <v xml:space="preserve"> - </v>
          </cell>
          <cell r="T49">
            <v>0</v>
          </cell>
        </row>
        <row r="50">
          <cell r="S50" t="str">
            <v xml:space="preserve"> - </v>
          </cell>
          <cell r="T50">
            <v>0</v>
          </cell>
        </row>
        <row r="51">
          <cell r="S51" t="str">
            <v xml:space="preserve"> - </v>
          </cell>
          <cell r="T51">
            <v>0</v>
          </cell>
        </row>
        <row r="52">
          <cell r="S52" t="str">
            <v xml:space="preserve"> - </v>
          </cell>
          <cell r="T52">
            <v>0</v>
          </cell>
        </row>
        <row r="53">
          <cell r="S53" t="str">
            <v xml:space="preserve"> - </v>
          </cell>
          <cell r="T53">
            <v>0</v>
          </cell>
        </row>
        <row r="54">
          <cell r="S54" t="str">
            <v xml:space="preserve">YTSHDCT77036 - </v>
          </cell>
          <cell r="T54">
            <v>8</v>
          </cell>
        </row>
        <row r="55">
          <cell r="S55" t="str">
            <v xml:space="preserve"> - </v>
          </cell>
          <cell r="T55">
            <v>0</v>
          </cell>
        </row>
        <row r="56">
          <cell r="S56" t="str">
            <v xml:space="preserve"> - </v>
          </cell>
          <cell r="T56">
            <v>0</v>
          </cell>
        </row>
        <row r="57">
          <cell r="S57" t="str">
            <v xml:space="preserve"> - </v>
          </cell>
          <cell r="T57">
            <v>0</v>
          </cell>
        </row>
        <row r="58">
          <cell r="S58" t="str">
            <v>YTSHDCT78005 - W38</v>
          </cell>
          <cell r="T58">
            <v>20</v>
          </cell>
        </row>
        <row r="59">
          <cell r="S59" t="str">
            <v xml:space="preserve"> - </v>
          </cell>
          <cell r="T59">
            <v>0</v>
          </cell>
        </row>
        <row r="60">
          <cell r="S60" t="str">
            <v xml:space="preserve"> - </v>
          </cell>
          <cell r="T60">
            <v>0</v>
          </cell>
        </row>
        <row r="61">
          <cell r="S61" t="str">
            <v xml:space="preserve"> - </v>
          </cell>
          <cell r="T61">
            <v>0</v>
          </cell>
        </row>
        <row r="62">
          <cell r="S62" t="str">
            <v xml:space="preserve"> - </v>
          </cell>
          <cell r="T62">
            <v>0</v>
          </cell>
        </row>
        <row r="63">
          <cell r="S63" t="str">
            <v xml:space="preserve"> - </v>
          </cell>
          <cell r="T63">
            <v>0</v>
          </cell>
        </row>
        <row r="64">
          <cell r="S64" t="str">
            <v xml:space="preserve"> - </v>
          </cell>
          <cell r="T64">
            <v>0</v>
          </cell>
        </row>
        <row r="65">
          <cell r="S65" t="str">
            <v xml:space="preserve"> - </v>
          </cell>
          <cell r="T65">
            <v>0</v>
          </cell>
        </row>
        <row r="66">
          <cell r="S66" t="str">
            <v xml:space="preserve"> - </v>
          </cell>
          <cell r="T66">
            <v>0</v>
          </cell>
        </row>
        <row r="67">
          <cell r="S67" t="str">
            <v xml:space="preserve"> - </v>
          </cell>
          <cell r="T67">
            <v>0</v>
          </cell>
        </row>
        <row r="68">
          <cell r="S68" t="str">
            <v xml:space="preserve"> - </v>
          </cell>
          <cell r="T68">
            <v>0</v>
          </cell>
        </row>
        <row r="69">
          <cell r="S69" t="str">
            <v>YTSHDCT78014 - W38</v>
          </cell>
          <cell r="T69">
            <v>5</v>
          </cell>
        </row>
        <row r="70">
          <cell r="S70" t="str">
            <v xml:space="preserve"> - </v>
          </cell>
          <cell r="T70">
            <v>0</v>
          </cell>
        </row>
        <row r="71">
          <cell r="S71" t="str">
            <v xml:space="preserve"> - </v>
          </cell>
          <cell r="T71">
            <v>0</v>
          </cell>
        </row>
        <row r="72">
          <cell r="S72" t="str">
            <v xml:space="preserve"> - </v>
          </cell>
          <cell r="T72">
            <v>0</v>
          </cell>
        </row>
        <row r="73">
          <cell r="S73" t="str">
            <v xml:space="preserve"> - </v>
          </cell>
          <cell r="T73">
            <v>0</v>
          </cell>
        </row>
        <row r="74">
          <cell r="S74" t="str">
            <v xml:space="preserve"> - </v>
          </cell>
          <cell r="T74">
            <v>0</v>
          </cell>
        </row>
        <row r="75">
          <cell r="S75" t="str">
            <v xml:space="preserve"> - </v>
          </cell>
          <cell r="T75">
            <v>0</v>
          </cell>
        </row>
        <row r="76">
          <cell r="S76" t="str">
            <v xml:space="preserve"> - </v>
          </cell>
          <cell r="T76">
            <v>0</v>
          </cell>
        </row>
        <row r="77">
          <cell r="S77" t="str">
            <v>YTSHDCT78030 - W38</v>
          </cell>
          <cell r="T77">
            <v>4</v>
          </cell>
        </row>
        <row r="78">
          <cell r="S78" t="str">
            <v xml:space="preserve"> - </v>
          </cell>
          <cell r="T78">
            <v>0</v>
          </cell>
        </row>
        <row r="79">
          <cell r="S79" t="str">
            <v xml:space="preserve"> - </v>
          </cell>
          <cell r="T79">
            <v>0</v>
          </cell>
        </row>
        <row r="80">
          <cell r="S80" t="str">
            <v xml:space="preserve"> - </v>
          </cell>
          <cell r="T80">
            <v>0</v>
          </cell>
        </row>
        <row r="81">
          <cell r="S81" t="str">
            <v>YTSHDCT77055 - W38</v>
          </cell>
          <cell r="T81">
            <v>20</v>
          </cell>
        </row>
        <row r="82">
          <cell r="S82" t="str">
            <v xml:space="preserve"> - </v>
          </cell>
          <cell r="T82">
            <v>0</v>
          </cell>
        </row>
        <row r="83">
          <cell r="S83" t="str">
            <v xml:space="preserve"> - </v>
          </cell>
          <cell r="T83">
            <v>0</v>
          </cell>
        </row>
        <row r="84">
          <cell r="S84" t="str">
            <v xml:space="preserve"> - </v>
          </cell>
          <cell r="T84">
            <v>0</v>
          </cell>
        </row>
        <row r="85">
          <cell r="S85" t="str">
            <v xml:space="preserve"> - </v>
          </cell>
          <cell r="T85">
            <v>0</v>
          </cell>
        </row>
        <row r="86">
          <cell r="S86" t="str">
            <v xml:space="preserve"> - </v>
          </cell>
          <cell r="T86">
            <v>0</v>
          </cell>
        </row>
        <row r="87">
          <cell r="S87" t="str">
            <v xml:space="preserve"> - </v>
          </cell>
          <cell r="T87">
            <v>0</v>
          </cell>
        </row>
        <row r="88">
          <cell r="S88" t="str">
            <v>YTSHDRT78002 - W38</v>
          </cell>
          <cell r="T88">
            <v>16</v>
          </cell>
        </row>
        <row r="89">
          <cell r="S89" t="str">
            <v xml:space="preserve"> - </v>
          </cell>
          <cell r="T89">
            <v>0</v>
          </cell>
        </row>
        <row r="90">
          <cell r="S90" t="str">
            <v xml:space="preserve"> - </v>
          </cell>
          <cell r="T90">
            <v>0</v>
          </cell>
        </row>
        <row r="91">
          <cell r="S91" t="str">
            <v xml:space="preserve"> - </v>
          </cell>
          <cell r="T91">
            <v>0</v>
          </cell>
        </row>
        <row r="92">
          <cell r="S92" t="str">
            <v>YTSHDCT78018 - W38</v>
          </cell>
          <cell r="T92">
            <v>168</v>
          </cell>
        </row>
        <row r="93">
          <cell r="S93" t="str">
            <v xml:space="preserve"> - </v>
          </cell>
          <cell r="T93">
            <v>0</v>
          </cell>
        </row>
        <row r="94">
          <cell r="S94" t="str">
            <v xml:space="preserve"> - </v>
          </cell>
          <cell r="T94">
            <v>0</v>
          </cell>
        </row>
        <row r="95">
          <cell r="S95" t="str">
            <v xml:space="preserve"> - </v>
          </cell>
          <cell r="T95">
            <v>0</v>
          </cell>
        </row>
        <row r="96">
          <cell r="S96" t="str">
            <v xml:space="preserve"> - </v>
          </cell>
          <cell r="T96">
            <v>0</v>
          </cell>
        </row>
        <row r="97">
          <cell r="S97" t="str">
            <v xml:space="preserve"> - </v>
          </cell>
          <cell r="T97">
            <v>0</v>
          </cell>
        </row>
        <row r="98">
          <cell r="S98" t="str">
            <v xml:space="preserve"> - </v>
          </cell>
          <cell r="T98">
            <v>0</v>
          </cell>
        </row>
        <row r="99">
          <cell r="S99" t="str">
            <v xml:space="preserve"> - </v>
          </cell>
          <cell r="T99">
            <v>0</v>
          </cell>
        </row>
        <row r="100">
          <cell r="S100" t="str">
            <v xml:space="preserve"> - </v>
          </cell>
          <cell r="T100">
            <v>0</v>
          </cell>
        </row>
        <row r="101">
          <cell r="S101" t="str">
            <v xml:space="preserve"> - </v>
          </cell>
          <cell r="T101">
            <v>0</v>
          </cell>
        </row>
        <row r="102">
          <cell r="S102" t="str">
            <v xml:space="preserve"> - </v>
          </cell>
          <cell r="T102">
            <v>0</v>
          </cell>
        </row>
        <row r="103">
          <cell r="S103" t="str">
            <v xml:space="preserve"> - </v>
          </cell>
          <cell r="T103">
            <v>0</v>
          </cell>
        </row>
        <row r="104">
          <cell r="S104" t="str">
            <v xml:space="preserve"> - </v>
          </cell>
          <cell r="T104">
            <v>0</v>
          </cell>
        </row>
        <row r="105">
          <cell r="S105" t="str">
            <v xml:space="preserve"> - </v>
          </cell>
          <cell r="T105">
            <v>0</v>
          </cell>
        </row>
        <row r="106">
          <cell r="S106" t="str">
            <v xml:space="preserve"> - </v>
          </cell>
          <cell r="T106">
            <v>0</v>
          </cell>
        </row>
        <row r="107">
          <cell r="S107" t="str">
            <v>YTSHDCT78012 - W38</v>
          </cell>
          <cell r="T107">
            <v>1.5</v>
          </cell>
        </row>
        <row r="108">
          <cell r="S108" t="str">
            <v xml:space="preserve"> - </v>
          </cell>
          <cell r="T108">
            <v>0</v>
          </cell>
        </row>
        <row r="109">
          <cell r="S109" t="str">
            <v>YTSHDCT77037 - W38</v>
          </cell>
          <cell r="T109">
            <v>14</v>
          </cell>
        </row>
        <row r="110">
          <cell r="S110" t="str">
            <v xml:space="preserve"> - </v>
          </cell>
          <cell r="T110">
            <v>0</v>
          </cell>
        </row>
        <row r="111">
          <cell r="S111" t="str">
            <v xml:space="preserve"> - </v>
          </cell>
          <cell r="T111">
            <v>0</v>
          </cell>
        </row>
        <row r="112">
          <cell r="S112" t="str">
            <v xml:space="preserve"> - </v>
          </cell>
          <cell r="T112">
            <v>0</v>
          </cell>
        </row>
        <row r="113">
          <cell r="S113" t="str">
            <v>YTSHDCT77053 - W38</v>
          </cell>
          <cell r="T113">
            <v>18</v>
          </cell>
        </row>
        <row r="114">
          <cell r="S114" t="str">
            <v xml:space="preserve"> - </v>
          </cell>
          <cell r="T114">
            <v>0</v>
          </cell>
        </row>
        <row r="115">
          <cell r="S115" t="str">
            <v xml:space="preserve"> - </v>
          </cell>
          <cell r="T115">
            <v>0</v>
          </cell>
        </row>
        <row r="116">
          <cell r="S116" t="str">
            <v xml:space="preserve"> - </v>
          </cell>
          <cell r="T116">
            <v>0</v>
          </cell>
        </row>
        <row r="117">
          <cell r="S117" t="str">
            <v>YTSHDCT78003 - W38</v>
          </cell>
          <cell r="T117">
            <v>1.5</v>
          </cell>
        </row>
        <row r="118">
          <cell r="S118" t="str">
            <v xml:space="preserve"> - </v>
          </cell>
          <cell r="T118">
            <v>0</v>
          </cell>
        </row>
        <row r="119">
          <cell r="S119" t="str">
            <v>YTSHDCT78031 - W38</v>
          </cell>
          <cell r="T119">
            <v>3</v>
          </cell>
        </row>
        <row r="120">
          <cell r="S120" t="str">
            <v xml:space="preserve"> - </v>
          </cell>
          <cell r="T120">
            <v>0</v>
          </cell>
        </row>
        <row r="121">
          <cell r="S121" t="str">
            <v xml:space="preserve"> - </v>
          </cell>
          <cell r="T121">
            <v>0</v>
          </cell>
        </row>
        <row r="122">
          <cell r="S122" t="str">
            <v>YTSHDCT77054 - W38</v>
          </cell>
          <cell r="T122">
            <v>16</v>
          </cell>
        </row>
        <row r="123">
          <cell r="S123" t="str">
            <v xml:space="preserve"> - </v>
          </cell>
          <cell r="T123">
            <v>0</v>
          </cell>
        </row>
        <row r="124">
          <cell r="S124" t="str">
            <v xml:space="preserve"> - </v>
          </cell>
          <cell r="T124">
            <v>0</v>
          </cell>
        </row>
        <row r="125">
          <cell r="S125" t="str">
            <v xml:space="preserve"> - </v>
          </cell>
          <cell r="T125">
            <v>0</v>
          </cell>
        </row>
        <row r="126">
          <cell r="S126" t="str">
            <v xml:space="preserve"> - </v>
          </cell>
          <cell r="T126">
            <v>0</v>
          </cell>
        </row>
        <row r="127">
          <cell r="S127" t="str">
            <v>YTSHDCT77052 - W38</v>
          </cell>
          <cell r="T127">
            <v>12</v>
          </cell>
        </row>
        <row r="128">
          <cell r="S128" t="str">
            <v xml:space="preserve"> - </v>
          </cell>
          <cell r="T128">
            <v>0</v>
          </cell>
        </row>
        <row r="129">
          <cell r="S129" t="str">
            <v xml:space="preserve"> - </v>
          </cell>
          <cell r="T129">
            <v>0</v>
          </cell>
        </row>
        <row r="130">
          <cell r="S130" t="str">
            <v>YTSHDCT78029 - W38</v>
          </cell>
          <cell r="T130">
            <v>3</v>
          </cell>
        </row>
        <row r="131">
          <cell r="S131" t="str">
            <v xml:space="preserve"> - </v>
          </cell>
          <cell r="T131">
            <v>0</v>
          </cell>
        </row>
        <row r="132">
          <cell r="S132" t="str">
            <v xml:space="preserve"> - </v>
          </cell>
          <cell r="T132">
            <v>0</v>
          </cell>
        </row>
        <row r="133">
          <cell r="S133" t="str">
            <v>YTSHDCT78034 - W38</v>
          </cell>
          <cell r="T133">
            <v>4</v>
          </cell>
        </row>
        <row r="134">
          <cell r="S134" t="str">
            <v xml:space="preserve"> - </v>
          </cell>
          <cell r="T134">
            <v>0</v>
          </cell>
        </row>
        <row r="135">
          <cell r="S135" t="str">
            <v xml:space="preserve"> - </v>
          </cell>
          <cell r="T135">
            <v>0</v>
          </cell>
        </row>
        <row r="136">
          <cell r="S136" t="str">
            <v xml:space="preserve"> - </v>
          </cell>
          <cell r="T136">
            <v>0</v>
          </cell>
        </row>
        <row r="137">
          <cell r="S137" t="str">
            <v>YTSHDCT77040 - W38</v>
          </cell>
          <cell r="T137">
            <v>18</v>
          </cell>
        </row>
        <row r="138">
          <cell r="S138" t="str">
            <v xml:space="preserve"> - </v>
          </cell>
          <cell r="T138">
            <v>0</v>
          </cell>
        </row>
        <row r="139">
          <cell r="S139" t="str">
            <v xml:space="preserve"> - </v>
          </cell>
          <cell r="T139">
            <v>0</v>
          </cell>
        </row>
        <row r="140">
          <cell r="S140" t="str">
            <v xml:space="preserve"> - </v>
          </cell>
          <cell r="T140">
            <v>0</v>
          </cell>
        </row>
        <row r="141">
          <cell r="S141" t="str">
            <v>YTSHDCT77051 - W38</v>
          </cell>
          <cell r="T141">
            <v>18</v>
          </cell>
        </row>
        <row r="142">
          <cell r="S142" t="str">
            <v xml:space="preserve"> - </v>
          </cell>
          <cell r="T142">
            <v>0</v>
          </cell>
        </row>
        <row r="143">
          <cell r="S143" t="str">
            <v xml:space="preserve"> - </v>
          </cell>
          <cell r="T143">
            <v>0</v>
          </cell>
        </row>
        <row r="144">
          <cell r="S144" t="str">
            <v xml:space="preserve"> - </v>
          </cell>
          <cell r="T144">
            <v>0</v>
          </cell>
        </row>
        <row r="145">
          <cell r="S145" t="str">
            <v xml:space="preserve"> - </v>
          </cell>
          <cell r="T145">
            <v>0</v>
          </cell>
        </row>
        <row r="146">
          <cell r="S146" t="str">
            <v xml:space="preserve"> - </v>
          </cell>
          <cell r="T146">
            <v>0</v>
          </cell>
        </row>
        <row r="147">
          <cell r="S147" t="str">
            <v xml:space="preserve"> - </v>
          </cell>
          <cell r="T147">
            <v>0</v>
          </cell>
        </row>
        <row r="148">
          <cell r="S148" t="str">
            <v xml:space="preserve"> - </v>
          </cell>
          <cell r="T148">
            <v>0</v>
          </cell>
        </row>
        <row r="149">
          <cell r="S149" t="str">
            <v xml:space="preserve"> - </v>
          </cell>
          <cell r="T149">
            <v>0</v>
          </cell>
        </row>
        <row r="150">
          <cell r="S150" t="str">
            <v>YTSHDCT78010 - W38</v>
          </cell>
          <cell r="T150">
            <v>4</v>
          </cell>
        </row>
        <row r="151">
          <cell r="S151" t="str">
            <v xml:space="preserve"> - </v>
          </cell>
          <cell r="T151">
            <v>0</v>
          </cell>
        </row>
        <row r="152">
          <cell r="S152" t="str">
            <v xml:space="preserve"> - </v>
          </cell>
          <cell r="T152">
            <v>0</v>
          </cell>
        </row>
        <row r="153">
          <cell r="S153" t="str">
            <v xml:space="preserve"> - </v>
          </cell>
          <cell r="T153">
            <v>0</v>
          </cell>
        </row>
        <row r="154">
          <cell r="S154" t="str">
            <v>YTSHDCT78009 - W38</v>
          </cell>
          <cell r="T154">
            <v>4</v>
          </cell>
        </row>
        <row r="155">
          <cell r="S155" t="str">
            <v xml:space="preserve"> - </v>
          </cell>
          <cell r="T155">
            <v>0</v>
          </cell>
        </row>
        <row r="156">
          <cell r="S156" t="str">
            <v xml:space="preserve"> - </v>
          </cell>
          <cell r="T156">
            <v>0</v>
          </cell>
        </row>
        <row r="157">
          <cell r="S157" t="str">
            <v>YTSGDCT24010 - W38</v>
          </cell>
          <cell r="T157">
            <v>14</v>
          </cell>
        </row>
        <row r="158">
          <cell r="S158" t="str">
            <v xml:space="preserve"> - </v>
          </cell>
          <cell r="T158">
            <v>0</v>
          </cell>
        </row>
        <row r="159">
          <cell r="S159" t="str">
            <v xml:space="preserve"> - </v>
          </cell>
          <cell r="T159">
            <v>0</v>
          </cell>
        </row>
        <row r="160">
          <cell r="S160" t="str">
            <v xml:space="preserve"> - </v>
          </cell>
          <cell r="T160">
            <v>0</v>
          </cell>
        </row>
        <row r="161">
          <cell r="S161" t="str">
            <v>YTSHDCT77060 - W38</v>
          </cell>
          <cell r="T161">
            <v>18</v>
          </cell>
        </row>
        <row r="162">
          <cell r="S162" t="str">
            <v xml:space="preserve"> - </v>
          </cell>
          <cell r="T162">
            <v>0</v>
          </cell>
        </row>
        <row r="163">
          <cell r="S163" t="str">
            <v xml:space="preserve"> - </v>
          </cell>
          <cell r="T163">
            <v>0</v>
          </cell>
        </row>
        <row r="164">
          <cell r="S164" t="str">
            <v xml:space="preserve"> - </v>
          </cell>
          <cell r="T164">
            <v>0</v>
          </cell>
        </row>
        <row r="165">
          <cell r="S165" t="str">
            <v xml:space="preserve"> - </v>
          </cell>
          <cell r="T165">
            <v>0</v>
          </cell>
        </row>
        <row r="166">
          <cell r="S166" t="str">
            <v>YTSHDCT78020 - W38</v>
          </cell>
          <cell r="T166">
            <v>5</v>
          </cell>
        </row>
        <row r="167">
          <cell r="S167" t="str">
            <v xml:space="preserve"> - </v>
          </cell>
          <cell r="T167">
            <v>0</v>
          </cell>
        </row>
        <row r="168">
          <cell r="S168" t="str">
            <v>YTSHDCT78007 - W38</v>
          </cell>
          <cell r="T168">
            <v>168</v>
          </cell>
        </row>
        <row r="169">
          <cell r="S169" t="str">
            <v xml:space="preserve"> - </v>
          </cell>
          <cell r="T169">
            <v>0</v>
          </cell>
        </row>
        <row r="170">
          <cell r="S170" t="str">
            <v xml:space="preserve"> - </v>
          </cell>
          <cell r="T170">
            <v>0</v>
          </cell>
        </row>
        <row r="171">
          <cell r="S171" t="str">
            <v xml:space="preserve"> - </v>
          </cell>
          <cell r="T171">
            <v>0</v>
          </cell>
        </row>
        <row r="172">
          <cell r="S172" t="str">
            <v xml:space="preserve"> - </v>
          </cell>
          <cell r="T172">
            <v>0</v>
          </cell>
        </row>
        <row r="173">
          <cell r="S173" t="str">
            <v xml:space="preserve"> - </v>
          </cell>
          <cell r="T173">
            <v>0</v>
          </cell>
        </row>
        <row r="174">
          <cell r="S174" t="str">
            <v xml:space="preserve"> - </v>
          </cell>
          <cell r="T174">
            <v>0</v>
          </cell>
        </row>
        <row r="175">
          <cell r="S175" t="str">
            <v xml:space="preserve"> - </v>
          </cell>
          <cell r="T175">
            <v>0</v>
          </cell>
        </row>
        <row r="176">
          <cell r="S176" t="str">
            <v xml:space="preserve"> - </v>
          </cell>
          <cell r="T176">
            <v>0</v>
          </cell>
        </row>
        <row r="177">
          <cell r="S177" t="str">
            <v xml:space="preserve"> - </v>
          </cell>
          <cell r="T177">
            <v>0</v>
          </cell>
        </row>
        <row r="178">
          <cell r="S178" t="str">
            <v xml:space="preserve"> - </v>
          </cell>
          <cell r="T178">
            <v>0</v>
          </cell>
        </row>
        <row r="179">
          <cell r="S179" t="str">
            <v xml:space="preserve"> - </v>
          </cell>
          <cell r="T179">
            <v>0</v>
          </cell>
        </row>
        <row r="180">
          <cell r="S180" t="str">
            <v xml:space="preserve"> - </v>
          </cell>
          <cell r="T180">
            <v>0</v>
          </cell>
        </row>
        <row r="181">
          <cell r="S181" t="str">
            <v xml:space="preserve"> - </v>
          </cell>
          <cell r="T181">
            <v>0</v>
          </cell>
        </row>
        <row r="182">
          <cell r="S182" t="str">
            <v xml:space="preserve"> - </v>
          </cell>
          <cell r="T182">
            <v>0</v>
          </cell>
        </row>
        <row r="183">
          <cell r="S183" t="str">
            <v xml:space="preserve"> - </v>
          </cell>
          <cell r="T183">
            <v>0</v>
          </cell>
        </row>
        <row r="184">
          <cell r="S184" t="str">
            <v>YTSHDCT77044 - W38</v>
          </cell>
          <cell r="T184">
            <v>20</v>
          </cell>
        </row>
        <row r="185">
          <cell r="S185" t="str">
            <v xml:space="preserve"> - </v>
          </cell>
          <cell r="T185">
            <v>0</v>
          </cell>
        </row>
        <row r="186">
          <cell r="S186" t="str">
            <v xml:space="preserve"> - </v>
          </cell>
          <cell r="T186">
            <v>0</v>
          </cell>
        </row>
        <row r="187">
          <cell r="S187" t="str">
            <v xml:space="preserve"> - </v>
          </cell>
          <cell r="T187">
            <v>0</v>
          </cell>
        </row>
        <row r="188">
          <cell r="S188" t="str">
            <v xml:space="preserve"> - </v>
          </cell>
          <cell r="T188">
            <v>0</v>
          </cell>
        </row>
        <row r="189">
          <cell r="S189" t="str">
            <v xml:space="preserve"> - </v>
          </cell>
          <cell r="T189">
            <v>0</v>
          </cell>
        </row>
        <row r="190">
          <cell r="S190" t="str">
            <v xml:space="preserve"> - </v>
          </cell>
          <cell r="T190">
            <v>0</v>
          </cell>
        </row>
        <row r="191">
          <cell r="S191" t="str">
            <v xml:space="preserve"> - </v>
          </cell>
          <cell r="T191">
            <v>0</v>
          </cell>
        </row>
        <row r="192">
          <cell r="S192" t="str">
            <v>YTSHDCT77062 - W38</v>
          </cell>
          <cell r="T192">
            <v>18</v>
          </cell>
        </row>
        <row r="193">
          <cell r="S193" t="str">
            <v xml:space="preserve"> - </v>
          </cell>
          <cell r="T193">
            <v>0</v>
          </cell>
        </row>
        <row r="194">
          <cell r="S194" t="str">
            <v xml:space="preserve"> - </v>
          </cell>
          <cell r="T194">
            <v>0</v>
          </cell>
        </row>
        <row r="195">
          <cell r="S195" t="str">
            <v xml:space="preserve"> - </v>
          </cell>
          <cell r="T195">
            <v>0</v>
          </cell>
        </row>
        <row r="196">
          <cell r="S196" t="str">
            <v xml:space="preserve"> - </v>
          </cell>
          <cell r="T196">
            <v>0</v>
          </cell>
        </row>
        <row r="197">
          <cell r="S197" t="str">
            <v xml:space="preserve"> - </v>
          </cell>
          <cell r="T197">
            <v>0</v>
          </cell>
        </row>
        <row r="198">
          <cell r="S198" t="str">
            <v xml:space="preserve"> - </v>
          </cell>
          <cell r="T198">
            <v>0</v>
          </cell>
        </row>
        <row r="199">
          <cell r="S199" t="str">
            <v xml:space="preserve"> - </v>
          </cell>
          <cell r="T199">
            <v>0</v>
          </cell>
        </row>
        <row r="200">
          <cell r="S200" t="str">
            <v xml:space="preserve"> - </v>
          </cell>
          <cell r="T200">
            <v>0</v>
          </cell>
        </row>
        <row r="201">
          <cell r="S201" t="str">
            <v xml:space="preserve"> - </v>
          </cell>
          <cell r="T201">
            <v>0</v>
          </cell>
        </row>
        <row r="202">
          <cell r="S202" t="str">
            <v>YTSHDCT78025 - W38</v>
          </cell>
          <cell r="T202">
            <v>32</v>
          </cell>
        </row>
        <row r="203">
          <cell r="S203" t="str">
            <v xml:space="preserve"> - </v>
          </cell>
          <cell r="T203">
            <v>0</v>
          </cell>
        </row>
        <row r="204">
          <cell r="S204" t="str">
            <v xml:space="preserve"> - </v>
          </cell>
          <cell r="T204">
            <v>0</v>
          </cell>
        </row>
        <row r="205">
          <cell r="S205" t="str">
            <v xml:space="preserve"> - </v>
          </cell>
          <cell r="T205">
            <v>0</v>
          </cell>
        </row>
        <row r="206">
          <cell r="S206" t="str">
            <v xml:space="preserve"> - </v>
          </cell>
          <cell r="T206">
            <v>0</v>
          </cell>
        </row>
        <row r="207">
          <cell r="S207" t="str">
            <v xml:space="preserve"> - </v>
          </cell>
          <cell r="T207">
            <v>0</v>
          </cell>
        </row>
        <row r="208">
          <cell r="S208" t="str">
            <v xml:space="preserve"> - </v>
          </cell>
          <cell r="T208">
            <v>0</v>
          </cell>
        </row>
        <row r="209">
          <cell r="S209" t="str">
            <v xml:space="preserve"> - </v>
          </cell>
          <cell r="T209">
            <v>0</v>
          </cell>
        </row>
        <row r="210">
          <cell r="S210" t="str">
            <v xml:space="preserve"> - </v>
          </cell>
          <cell r="T210">
            <v>0</v>
          </cell>
        </row>
        <row r="211">
          <cell r="S211" t="str">
            <v xml:space="preserve"> - </v>
          </cell>
          <cell r="T211">
            <v>0</v>
          </cell>
        </row>
        <row r="212">
          <cell r="S212" t="str">
            <v xml:space="preserve"> - </v>
          </cell>
          <cell r="T212">
            <v>0</v>
          </cell>
        </row>
        <row r="213">
          <cell r="S213" t="str">
            <v xml:space="preserve"> - </v>
          </cell>
          <cell r="T213">
            <v>0</v>
          </cell>
        </row>
        <row r="214">
          <cell r="S214" t="str">
            <v xml:space="preserve"> - </v>
          </cell>
          <cell r="T214">
            <v>0</v>
          </cell>
        </row>
        <row r="215">
          <cell r="S215" t="str">
            <v xml:space="preserve"> - </v>
          </cell>
          <cell r="T215">
            <v>0</v>
          </cell>
        </row>
        <row r="216">
          <cell r="S216" t="str">
            <v xml:space="preserve"> - </v>
          </cell>
          <cell r="T216">
            <v>0</v>
          </cell>
        </row>
        <row r="217">
          <cell r="S217" t="str">
            <v xml:space="preserve"> - </v>
          </cell>
          <cell r="T217">
            <v>0</v>
          </cell>
        </row>
        <row r="218">
          <cell r="S218" t="str">
            <v xml:space="preserve"> - </v>
          </cell>
          <cell r="T218">
            <v>0</v>
          </cell>
        </row>
        <row r="219">
          <cell r="S219" t="str">
            <v xml:space="preserve"> - </v>
          </cell>
          <cell r="T219">
            <v>0</v>
          </cell>
        </row>
        <row r="220">
          <cell r="S220" t="str">
            <v xml:space="preserve"> - </v>
          </cell>
          <cell r="T220">
            <v>0</v>
          </cell>
        </row>
        <row r="221">
          <cell r="S221" t="str">
            <v>YTSHDCT78021 - W38</v>
          </cell>
          <cell r="T221">
            <v>4</v>
          </cell>
        </row>
        <row r="222">
          <cell r="S222" t="str">
            <v xml:space="preserve"> - </v>
          </cell>
          <cell r="T222">
            <v>0</v>
          </cell>
        </row>
        <row r="223">
          <cell r="S223" t="str">
            <v xml:space="preserve"> - </v>
          </cell>
          <cell r="T223">
            <v>0</v>
          </cell>
        </row>
        <row r="224">
          <cell r="S224" t="str">
            <v>YTSHDCT78022 - W38</v>
          </cell>
          <cell r="T224">
            <v>18</v>
          </cell>
        </row>
        <row r="225">
          <cell r="S225" t="str">
            <v xml:space="preserve"> - </v>
          </cell>
          <cell r="T225">
            <v>0</v>
          </cell>
        </row>
        <row r="226">
          <cell r="S226" t="str">
            <v xml:space="preserve"> - </v>
          </cell>
          <cell r="T226">
            <v>0</v>
          </cell>
        </row>
        <row r="227">
          <cell r="S227" t="str">
            <v xml:space="preserve"> - </v>
          </cell>
          <cell r="T227">
            <v>0</v>
          </cell>
        </row>
        <row r="228">
          <cell r="S228" t="str">
            <v xml:space="preserve"> - </v>
          </cell>
          <cell r="T228">
            <v>0</v>
          </cell>
        </row>
        <row r="229">
          <cell r="S229" t="str">
            <v xml:space="preserve"> - </v>
          </cell>
          <cell r="T229">
            <v>0</v>
          </cell>
        </row>
        <row r="230">
          <cell r="S230" t="str">
            <v xml:space="preserve"> - </v>
          </cell>
          <cell r="T230">
            <v>0</v>
          </cell>
        </row>
        <row r="231">
          <cell r="S231" t="str">
            <v xml:space="preserve"> - </v>
          </cell>
          <cell r="T231">
            <v>0</v>
          </cell>
        </row>
        <row r="232">
          <cell r="S232" t="str">
            <v xml:space="preserve">09 September 2015  15:36:53 - </v>
          </cell>
          <cell r="T232">
            <v>0</v>
          </cell>
        </row>
        <row r="233">
          <cell r="S233" t="str">
            <v xml:space="preserve"> - </v>
          </cell>
          <cell r="T233">
            <v>0</v>
          </cell>
        </row>
        <row r="234">
          <cell r="S234" t="str">
            <v xml:space="preserve"> - </v>
          </cell>
          <cell r="T234">
            <v>0</v>
          </cell>
        </row>
        <row r="235">
          <cell r="S235" t="str">
            <v xml:space="preserve"> - </v>
          </cell>
          <cell r="T235">
            <v>0</v>
          </cell>
        </row>
        <row r="236">
          <cell r="S236" t="str">
            <v xml:space="preserve"> - </v>
          </cell>
          <cell r="T236">
            <v>0</v>
          </cell>
        </row>
        <row r="237">
          <cell r="S237" t="str">
            <v xml:space="preserve"> - </v>
          </cell>
          <cell r="T237">
            <v>0</v>
          </cell>
        </row>
        <row r="238">
          <cell r="S238" t="str">
            <v xml:space="preserve"> - </v>
          </cell>
          <cell r="T238">
            <v>0</v>
          </cell>
        </row>
        <row r="239">
          <cell r="S239" t="str">
            <v xml:space="preserve"> - </v>
          </cell>
          <cell r="T239">
            <v>0</v>
          </cell>
        </row>
        <row r="240">
          <cell r="S240" t="str">
            <v xml:space="preserve"> - </v>
          </cell>
          <cell r="T240">
            <v>0</v>
          </cell>
        </row>
        <row r="241">
          <cell r="S241" t="str">
            <v xml:space="preserve"> - </v>
          </cell>
          <cell r="T241">
            <v>0</v>
          </cell>
        </row>
        <row r="242">
          <cell r="S242" t="str">
            <v xml:space="preserve"> - </v>
          </cell>
          <cell r="T242">
            <v>0</v>
          </cell>
        </row>
        <row r="243">
          <cell r="S243" t="str">
            <v xml:space="preserve"> - </v>
          </cell>
          <cell r="T243">
            <v>0</v>
          </cell>
        </row>
        <row r="244">
          <cell r="S244" t="str">
            <v xml:space="preserve"> - </v>
          </cell>
          <cell r="T244">
            <v>0</v>
          </cell>
        </row>
        <row r="245">
          <cell r="S245" t="str">
            <v xml:space="preserve"> - </v>
          </cell>
          <cell r="T245">
            <v>0</v>
          </cell>
        </row>
        <row r="246">
          <cell r="S246" t="str">
            <v xml:space="preserve"> - </v>
          </cell>
          <cell r="T246">
            <v>0</v>
          </cell>
        </row>
        <row r="247">
          <cell r="S247" t="str">
            <v xml:space="preserve"> - </v>
          </cell>
          <cell r="T247">
            <v>0</v>
          </cell>
        </row>
        <row r="248">
          <cell r="S248" t="str">
            <v xml:space="preserve"> - </v>
          </cell>
          <cell r="T248">
            <v>0</v>
          </cell>
        </row>
        <row r="249">
          <cell r="S249" t="str">
            <v xml:space="preserve"> - </v>
          </cell>
          <cell r="T249">
            <v>0</v>
          </cell>
        </row>
        <row r="250">
          <cell r="S250" t="str">
            <v xml:space="preserve"> - </v>
          </cell>
          <cell r="T250">
            <v>0</v>
          </cell>
        </row>
        <row r="251">
          <cell r="S251" t="str">
            <v xml:space="preserve"> - </v>
          </cell>
          <cell r="T251">
            <v>0</v>
          </cell>
        </row>
        <row r="252">
          <cell r="S252" t="str">
            <v xml:space="preserve"> - </v>
          </cell>
          <cell r="T252">
            <v>0</v>
          </cell>
        </row>
        <row r="253">
          <cell r="S253" t="str">
            <v xml:space="preserve"> - </v>
          </cell>
          <cell r="T253">
            <v>0</v>
          </cell>
        </row>
        <row r="254">
          <cell r="S254" t="str">
            <v xml:space="preserve"> - </v>
          </cell>
          <cell r="T254">
            <v>0</v>
          </cell>
        </row>
        <row r="255">
          <cell r="S255" t="str">
            <v xml:space="preserve"> - </v>
          </cell>
          <cell r="T255">
            <v>0</v>
          </cell>
        </row>
        <row r="256">
          <cell r="S256" t="str">
            <v xml:space="preserve"> - </v>
          </cell>
          <cell r="T256">
            <v>0</v>
          </cell>
        </row>
        <row r="257">
          <cell r="S257" t="str">
            <v xml:space="preserve"> - </v>
          </cell>
          <cell r="T257">
            <v>0</v>
          </cell>
        </row>
        <row r="258">
          <cell r="S258" t="str">
            <v xml:space="preserve"> - </v>
          </cell>
          <cell r="T258">
            <v>0</v>
          </cell>
        </row>
        <row r="259">
          <cell r="S259" t="str">
            <v xml:space="preserve"> - </v>
          </cell>
          <cell r="T259">
            <v>0</v>
          </cell>
        </row>
        <row r="260">
          <cell r="S260" t="str">
            <v xml:space="preserve"> - </v>
          </cell>
          <cell r="T260">
            <v>0</v>
          </cell>
        </row>
        <row r="261">
          <cell r="S261" t="str">
            <v xml:space="preserve"> - </v>
          </cell>
          <cell r="T261">
            <v>0</v>
          </cell>
        </row>
        <row r="262">
          <cell r="S262" t="str">
            <v xml:space="preserve"> - </v>
          </cell>
          <cell r="T262">
            <v>0</v>
          </cell>
        </row>
        <row r="263">
          <cell r="S263" t="str">
            <v xml:space="preserve"> - </v>
          </cell>
          <cell r="T263">
            <v>0</v>
          </cell>
        </row>
        <row r="264">
          <cell r="S264" t="str">
            <v xml:space="preserve"> - </v>
          </cell>
          <cell r="T264">
            <v>0</v>
          </cell>
        </row>
        <row r="265">
          <cell r="S265" t="str">
            <v xml:space="preserve"> - </v>
          </cell>
          <cell r="T265">
            <v>0</v>
          </cell>
        </row>
        <row r="266">
          <cell r="S266" t="str">
            <v xml:space="preserve"> - </v>
          </cell>
          <cell r="T266">
            <v>0</v>
          </cell>
        </row>
        <row r="267">
          <cell r="S267" t="str">
            <v xml:space="preserve"> - </v>
          </cell>
          <cell r="T267">
            <v>0</v>
          </cell>
        </row>
        <row r="268">
          <cell r="S268" t="str">
            <v xml:space="preserve"> - </v>
          </cell>
          <cell r="T268">
            <v>0</v>
          </cell>
        </row>
        <row r="269">
          <cell r="S269" t="str">
            <v xml:space="preserve"> - </v>
          </cell>
          <cell r="T269">
            <v>0</v>
          </cell>
        </row>
        <row r="270">
          <cell r="S270" t="str">
            <v xml:space="preserve"> - </v>
          </cell>
          <cell r="T270">
            <v>0</v>
          </cell>
        </row>
        <row r="271">
          <cell r="S271" t="str">
            <v xml:space="preserve"> - </v>
          </cell>
          <cell r="T271">
            <v>0</v>
          </cell>
        </row>
        <row r="272">
          <cell r="S272" t="str">
            <v xml:space="preserve"> - </v>
          </cell>
          <cell r="T272">
            <v>0</v>
          </cell>
        </row>
        <row r="273">
          <cell r="S273" t="str">
            <v xml:space="preserve"> - </v>
          </cell>
          <cell r="T273">
            <v>0</v>
          </cell>
        </row>
        <row r="274">
          <cell r="S274" t="str">
            <v xml:space="preserve"> - </v>
          </cell>
          <cell r="T274">
            <v>0</v>
          </cell>
        </row>
        <row r="275">
          <cell r="S275" t="str">
            <v xml:space="preserve"> - </v>
          </cell>
          <cell r="T275">
            <v>0</v>
          </cell>
        </row>
        <row r="276">
          <cell r="S276" t="str">
            <v xml:space="preserve"> - </v>
          </cell>
          <cell r="T276">
            <v>0</v>
          </cell>
        </row>
        <row r="277">
          <cell r="S277" t="str">
            <v xml:space="preserve"> - </v>
          </cell>
          <cell r="T277">
            <v>0</v>
          </cell>
        </row>
        <row r="278">
          <cell r="S278" t="str">
            <v xml:space="preserve"> - </v>
          </cell>
          <cell r="T278">
            <v>0</v>
          </cell>
        </row>
        <row r="279">
          <cell r="S279" t="str">
            <v xml:space="preserve"> - </v>
          </cell>
          <cell r="T279">
            <v>0</v>
          </cell>
        </row>
        <row r="280">
          <cell r="S280" t="str">
            <v xml:space="preserve"> - </v>
          </cell>
          <cell r="T280">
            <v>0</v>
          </cell>
        </row>
        <row r="281">
          <cell r="S281" t="str">
            <v xml:space="preserve"> - </v>
          </cell>
          <cell r="T281">
            <v>0</v>
          </cell>
        </row>
        <row r="282">
          <cell r="S282" t="str">
            <v xml:space="preserve"> - </v>
          </cell>
          <cell r="T282">
            <v>0</v>
          </cell>
        </row>
        <row r="283">
          <cell r="S283" t="str">
            <v xml:space="preserve"> - </v>
          </cell>
          <cell r="T283">
            <v>0</v>
          </cell>
        </row>
        <row r="284">
          <cell r="S284" t="str">
            <v xml:space="preserve"> - </v>
          </cell>
          <cell r="T284">
            <v>0</v>
          </cell>
        </row>
        <row r="285">
          <cell r="S285" t="str">
            <v xml:space="preserve"> - </v>
          </cell>
          <cell r="T285">
            <v>0</v>
          </cell>
        </row>
        <row r="286">
          <cell r="S286" t="str">
            <v xml:space="preserve"> - </v>
          </cell>
          <cell r="T286">
            <v>0</v>
          </cell>
        </row>
        <row r="287">
          <cell r="S287" t="str">
            <v xml:space="preserve"> - </v>
          </cell>
          <cell r="T287">
            <v>0</v>
          </cell>
        </row>
        <row r="288">
          <cell r="S288" t="str">
            <v xml:space="preserve"> - </v>
          </cell>
          <cell r="T288">
            <v>0</v>
          </cell>
        </row>
        <row r="289">
          <cell r="S289" t="str">
            <v xml:space="preserve"> - </v>
          </cell>
          <cell r="T289">
            <v>0</v>
          </cell>
        </row>
        <row r="290">
          <cell r="S290" t="str">
            <v xml:space="preserve"> - </v>
          </cell>
          <cell r="T290">
            <v>0</v>
          </cell>
        </row>
        <row r="291">
          <cell r="S291" t="str">
            <v xml:space="preserve"> - </v>
          </cell>
          <cell r="T291">
            <v>0</v>
          </cell>
        </row>
        <row r="292">
          <cell r="S292" t="str">
            <v xml:space="preserve"> - </v>
          </cell>
          <cell r="T292">
            <v>0</v>
          </cell>
        </row>
        <row r="293">
          <cell r="S293" t="str">
            <v xml:space="preserve"> - </v>
          </cell>
          <cell r="T293">
            <v>0</v>
          </cell>
        </row>
        <row r="294">
          <cell r="S294" t="str">
            <v xml:space="preserve"> - </v>
          </cell>
          <cell r="T294">
            <v>0</v>
          </cell>
        </row>
        <row r="295">
          <cell r="S295" t="str">
            <v xml:space="preserve"> - </v>
          </cell>
          <cell r="T295">
            <v>0</v>
          </cell>
        </row>
        <row r="296">
          <cell r="S296" t="str">
            <v xml:space="preserve"> - </v>
          </cell>
          <cell r="T296">
            <v>0</v>
          </cell>
        </row>
        <row r="297">
          <cell r="S297" t="str">
            <v xml:space="preserve"> - </v>
          </cell>
          <cell r="T297">
            <v>0</v>
          </cell>
        </row>
        <row r="298">
          <cell r="S298" t="str">
            <v xml:space="preserve"> - </v>
          </cell>
          <cell r="T298">
            <v>0</v>
          </cell>
        </row>
        <row r="299">
          <cell r="S299" t="str">
            <v xml:space="preserve"> - </v>
          </cell>
          <cell r="T299">
            <v>0</v>
          </cell>
        </row>
        <row r="300">
          <cell r="S300" t="str">
            <v xml:space="preserve"> - </v>
          </cell>
          <cell r="T300">
            <v>0</v>
          </cell>
        </row>
        <row r="301">
          <cell r="S301" t="str">
            <v xml:space="preserve"> - </v>
          </cell>
          <cell r="T301">
            <v>0</v>
          </cell>
        </row>
        <row r="302">
          <cell r="S302" t="str">
            <v xml:space="preserve"> - </v>
          </cell>
          <cell r="T302">
            <v>0</v>
          </cell>
        </row>
        <row r="303">
          <cell r="S303" t="str">
            <v xml:space="preserve"> - </v>
          </cell>
          <cell r="T303">
            <v>0</v>
          </cell>
        </row>
        <row r="304">
          <cell r="S304" t="str">
            <v xml:space="preserve"> - </v>
          </cell>
          <cell r="T304">
            <v>0</v>
          </cell>
        </row>
        <row r="305">
          <cell r="S305" t="str">
            <v xml:space="preserve"> - </v>
          </cell>
          <cell r="T305">
            <v>0</v>
          </cell>
        </row>
        <row r="306">
          <cell r="S306" t="str">
            <v xml:space="preserve"> - </v>
          </cell>
          <cell r="T306">
            <v>0</v>
          </cell>
        </row>
        <row r="307">
          <cell r="S307" t="str">
            <v xml:space="preserve"> - </v>
          </cell>
          <cell r="T307">
            <v>0</v>
          </cell>
        </row>
        <row r="308">
          <cell r="S308" t="str">
            <v xml:space="preserve"> - </v>
          </cell>
          <cell r="T308">
            <v>0</v>
          </cell>
        </row>
        <row r="309">
          <cell r="S309" t="str">
            <v xml:space="preserve"> - </v>
          </cell>
          <cell r="T309">
            <v>0</v>
          </cell>
        </row>
        <row r="310">
          <cell r="S310" t="str">
            <v xml:space="preserve"> - </v>
          </cell>
          <cell r="T310">
            <v>0</v>
          </cell>
        </row>
        <row r="311">
          <cell r="S311" t="str">
            <v xml:space="preserve"> - </v>
          </cell>
          <cell r="T311">
            <v>0</v>
          </cell>
        </row>
        <row r="312">
          <cell r="S312" t="str">
            <v xml:space="preserve"> - </v>
          </cell>
          <cell r="T312">
            <v>0</v>
          </cell>
        </row>
        <row r="313">
          <cell r="S313" t="str">
            <v xml:space="preserve"> - </v>
          </cell>
          <cell r="T313">
            <v>0</v>
          </cell>
        </row>
        <row r="314">
          <cell r="S314" t="str">
            <v xml:space="preserve"> - </v>
          </cell>
          <cell r="T314">
            <v>0</v>
          </cell>
        </row>
        <row r="315">
          <cell r="S315" t="str">
            <v xml:space="preserve"> - </v>
          </cell>
          <cell r="T315">
            <v>0</v>
          </cell>
        </row>
        <row r="316">
          <cell r="S316" t="str">
            <v xml:space="preserve"> - </v>
          </cell>
          <cell r="T316">
            <v>0</v>
          </cell>
        </row>
        <row r="317">
          <cell r="S317" t="str">
            <v xml:space="preserve"> - </v>
          </cell>
          <cell r="T317">
            <v>0</v>
          </cell>
        </row>
        <row r="318">
          <cell r="S318" t="str">
            <v xml:space="preserve"> - </v>
          </cell>
          <cell r="T318">
            <v>0</v>
          </cell>
        </row>
        <row r="319">
          <cell r="S319" t="str">
            <v xml:space="preserve"> - </v>
          </cell>
          <cell r="T319">
            <v>0</v>
          </cell>
        </row>
        <row r="320">
          <cell r="S320" t="str">
            <v xml:space="preserve"> - </v>
          </cell>
          <cell r="T320">
            <v>0</v>
          </cell>
        </row>
        <row r="321">
          <cell r="S321" t="str">
            <v xml:space="preserve"> - </v>
          </cell>
          <cell r="T321">
            <v>0</v>
          </cell>
        </row>
        <row r="322">
          <cell r="S322" t="str">
            <v xml:space="preserve"> - </v>
          </cell>
          <cell r="T322">
            <v>0</v>
          </cell>
        </row>
        <row r="323">
          <cell r="S323" t="str">
            <v xml:space="preserve"> - </v>
          </cell>
          <cell r="T323">
            <v>0</v>
          </cell>
        </row>
        <row r="324">
          <cell r="S324" t="str">
            <v xml:space="preserve"> - </v>
          </cell>
          <cell r="T324">
            <v>0</v>
          </cell>
        </row>
        <row r="325">
          <cell r="S325" t="str">
            <v xml:space="preserve"> - </v>
          </cell>
          <cell r="T325">
            <v>0</v>
          </cell>
        </row>
        <row r="326">
          <cell r="S326" t="str">
            <v xml:space="preserve"> - </v>
          </cell>
          <cell r="T326">
            <v>0</v>
          </cell>
        </row>
        <row r="327">
          <cell r="S327" t="str">
            <v xml:space="preserve"> - </v>
          </cell>
          <cell r="T327">
            <v>0</v>
          </cell>
        </row>
        <row r="328">
          <cell r="S328" t="str">
            <v xml:space="preserve"> - </v>
          </cell>
          <cell r="T328">
            <v>0</v>
          </cell>
        </row>
        <row r="329">
          <cell r="S329" t="str">
            <v xml:space="preserve"> - </v>
          </cell>
          <cell r="T329">
            <v>0</v>
          </cell>
        </row>
        <row r="330">
          <cell r="S330" t="str">
            <v xml:space="preserve"> - </v>
          </cell>
          <cell r="T330">
            <v>0</v>
          </cell>
        </row>
        <row r="331">
          <cell r="S331" t="str">
            <v xml:space="preserve"> - </v>
          </cell>
          <cell r="T331">
            <v>0</v>
          </cell>
        </row>
        <row r="332">
          <cell r="S332" t="str">
            <v xml:space="preserve"> - </v>
          </cell>
          <cell r="T332">
            <v>0</v>
          </cell>
        </row>
        <row r="333">
          <cell r="S333" t="str">
            <v xml:space="preserve"> - </v>
          </cell>
          <cell r="T333">
            <v>0</v>
          </cell>
        </row>
        <row r="334">
          <cell r="S334" t="str">
            <v xml:space="preserve"> - </v>
          </cell>
          <cell r="T334">
            <v>0</v>
          </cell>
        </row>
        <row r="335">
          <cell r="S335" t="str">
            <v xml:space="preserve"> - </v>
          </cell>
          <cell r="T335">
            <v>0</v>
          </cell>
        </row>
        <row r="336">
          <cell r="S336" t="str">
            <v xml:space="preserve"> - </v>
          </cell>
          <cell r="T336">
            <v>0</v>
          </cell>
        </row>
        <row r="337">
          <cell r="S337" t="str">
            <v xml:space="preserve"> - </v>
          </cell>
          <cell r="T337">
            <v>0</v>
          </cell>
        </row>
        <row r="338">
          <cell r="S338" t="str">
            <v xml:space="preserve"> - </v>
          </cell>
          <cell r="T338">
            <v>0</v>
          </cell>
        </row>
        <row r="339">
          <cell r="S339" t="str">
            <v xml:space="preserve"> - </v>
          </cell>
          <cell r="T339">
            <v>0</v>
          </cell>
        </row>
        <row r="340">
          <cell r="S340" t="str">
            <v xml:space="preserve"> - </v>
          </cell>
          <cell r="T340">
            <v>0</v>
          </cell>
        </row>
        <row r="341">
          <cell r="S341" t="str">
            <v xml:space="preserve"> - </v>
          </cell>
          <cell r="T341">
            <v>0</v>
          </cell>
        </row>
        <row r="342">
          <cell r="S342" t="str">
            <v xml:space="preserve"> - </v>
          </cell>
          <cell r="T342">
            <v>0</v>
          </cell>
        </row>
        <row r="343">
          <cell r="S343" t="str">
            <v xml:space="preserve"> - </v>
          </cell>
          <cell r="T343">
            <v>0</v>
          </cell>
        </row>
        <row r="344">
          <cell r="S344" t="str">
            <v xml:space="preserve"> - </v>
          </cell>
          <cell r="T344">
            <v>0</v>
          </cell>
        </row>
        <row r="345">
          <cell r="S345" t="str">
            <v xml:space="preserve"> - </v>
          </cell>
          <cell r="T345">
            <v>0</v>
          </cell>
        </row>
        <row r="346">
          <cell r="S346" t="str">
            <v xml:space="preserve"> - </v>
          </cell>
          <cell r="T346">
            <v>0</v>
          </cell>
        </row>
        <row r="347">
          <cell r="S347" t="str">
            <v xml:space="preserve"> - </v>
          </cell>
          <cell r="T347">
            <v>0</v>
          </cell>
        </row>
        <row r="348">
          <cell r="S348" t="str">
            <v xml:space="preserve"> - </v>
          </cell>
          <cell r="T348">
            <v>0</v>
          </cell>
        </row>
        <row r="349">
          <cell r="S349" t="str">
            <v xml:space="preserve"> - </v>
          </cell>
          <cell r="T349">
            <v>0</v>
          </cell>
        </row>
        <row r="350">
          <cell r="S350" t="str">
            <v xml:space="preserve"> - </v>
          </cell>
          <cell r="T350">
            <v>0</v>
          </cell>
        </row>
        <row r="351">
          <cell r="S351" t="str">
            <v xml:space="preserve"> - </v>
          </cell>
          <cell r="T351">
            <v>0</v>
          </cell>
        </row>
        <row r="352">
          <cell r="S352" t="str">
            <v xml:space="preserve"> - </v>
          </cell>
          <cell r="T352">
            <v>0</v>
          </cell>
        </row>
        <row r="353">
          <cell r="S353" t="str">
            <v xml:space="preserve"> - </v>
          </cell>
          <cell r="T353">
            <v>0</v>
          </cell>
        </row>
        <row r="354">
          <cell r="S354" t="str">
            <v xml:space="preserve"> - </v>
          </cell>
          <cell r="T354">
            <v>0</v>
          </cell>
        </row>
        <row r="355">
          <cell r="S355" t="str">
            <v xml:space="preserve"> - </v>
          </cell>
          <cell r="T355">
            <v>0</v>
          </cell>
        </row>
        <row r="356">
          <cell r="S356" t="str">
            <v xml:space="preserve"> - </v>
          </cell>
          <cell r="T356">
            <v>0</v>
          </cell>
        </row>
        <row r="357">
          <cell r="S357" t="str">
            <v xml:space="preserve"> - </v>
          </cell>
          <cell r="T357">
            <v>0</v>
          </cell>
        </row>
        <row r="358">
          <cell r="S358" t="str">
            <v xml:space="preserve"> - </v>
          </cell>
          <cell r="T358">
            <v>0</v>
          </cell>
        </row>
        <row r="359">
          <cell r="S359" t="str">
            <v xml:space="preserve"> - </v>
          </cell>
          <cell r="T359">
            <v>0</v>
          </cell>
        </row>
        <row r="360">
          <cell r="S360" t="str">
            <v xml:space="preserve"> - </v>
          </cell>
          <cell r="T360">
            <v>0</v>
          </cell>
        </row>
        <row r="361">
          <cell r="S361" t="str">
            <v xml:space="preserve"> - </v>
          </cell>
          <cell r="T361">
            <v>0</v>
          </cell>
        </row>
        <row r="362">
          <cell r="S362" t="str">
            <v xml:space="preserve"> - </v>
          </cell>
          <cell r="T362">
            <v>0</v>
          </cell>
        </row>
        <row r="363">
          <cell r="S363" t="str">
            <v xml:space="preserve"> - </v>
          </cell>
          <cell r="T363">
            <v>0</v>
          </cell>
        </row>
        <row r="364">
          <cell r="S364" t="str">
            <v xml:space="preserve"> - </v>
          </cell>
          <cell r="T364">
            <v>0</v>
          </cell>
        </row>
        <row r="365">
          <cell r="S365" t="str">
            <v xml:space="preserve"> - </v>
          </cell>
          <cell r="T365">
            <v>0</v>
          </cell>
        </row>
        <row r="366">
          <cell r="S366" t="str">
            <v xml:space="preserve"> - </v>
          </cell>
          <cell r="T366">
            <v>0</v>
          </cell>
        </row>
        <row r="367">
          <cell r="S367" t="str">
            <v xml:space="preserve"> - </v>
          </cell>
          <cell r="T367">
            <v>0</v>
          </cell>
        </row>
        <row r="368">
          <cell r="S368" t="str">
            <v xml:space="preserve"> - </v>
          </cell>
          <cell r="T368">
            <v>0</v>
          </cell>
        </row>
        <row r="369">
          <cell r="S369" t="str">
            <v xml:space="preserve"> - </v>
          </cell>
          <cell r="T369">
            <v>0</v>
          </cell>
        </row>
        <row r="370">
          <cell r="S370" t="str">
            <v xml:space="preserve"> - </v>
          </cell>
          <cell r="T370">
            <v>0</v>
          </cell>
        </row>
        <row r="371">
          <cell r="S371" t="str">
            <v xml:space="preserve"> - </v>
          </cell>
          <cell r="T371">
            <v>0</v>
          </cell>
        </row>
        <row r="372">
          <cell r="S372" t="str">
            <v xml:space="preserve"> - </v>
          </cell>
          <cell r="T372">
            <v>0</v>
          </cell>
        </row>
        <row r="373">
          <cell r="S373" t="str">
            <v xml:space="preserve"> - </v>
          </cell>
          <cell r="T373">
            <v>0</v>
          </cell>
        </row>
        <row r="374">
          <cell r="S374" t="str">
            <v xml:space="preserve"> - </v>
          </cell>
          <cell r="T374">
            <v>0</v>
          </cell>
        </row>
        <row r="375">
          <cell r="S375" t="str">
            <v xml:space="preserve"> - </v>
          </cell>
          <cell r="T375">
            <v>0</v>
          </cell>
        </row>
        <row r="376">
          <cell r="S376" t="str">
            <v xml:space="preserve"> - </v>
          </cell>
          <cell r="T376">
            <v>0</v>
          </cell>
        </row>
        <row r="377">
          <cell r="S377" t="str">
            <v xml:space="preserve"> - </v>
          </cell>
          <cell r="T377">
            <v>0</v>
          </cell>
        </row>
        <row r="378">
          <cell r="S378" t="str">
            <v xml:space="preserve"> - </v>
          </cell>
          <cell r="T378">
            <v>0</v>
          </cell>
        </row>
        <row r="379">
          <cell r="S379" t="str">
            <v xml:space="preserve"> - </v>
          </cell>
          <cell r="T379">
            <v>0</v>
          </cell>
        </row>
        <row r="380">
          <cell r="S380" t="str">
            <v xml:space="preserve"> - </v>
          </cell>
          <cell r="T380">
            <v>0</v>
          </cell>
        </row>
        <row r="381">
          <cell r="S381" t="str">
            <v xml:space="preserve"> - </v>
          </cell>
          <cell r="T381">
            <v>0</v>
          </cell>
        </row>
        <row r="382">
          <cell r="S382" t="str">
            <v xml:space="preserve"> - </v>
          </cell>
          <cell r="T382">
            <v>0</v>
          </cell>
        </row>
        <row r="383">
          <cell r="S383" t="str">
            <v xml:space="preserve"> - </v>
          </cell>
          <cell r="T383">
            <v>0</v>
          </cell>
        </row>
        <row r="384">
          <cell r="S384" t="str">
            <v xml:space="preserve"> - </v>
          </cell>
          <cell r="T384">
            <v>0</v>
          </cell>
        </row>
        <row r="385">
          <cell r="S385" t="str">
            <v xml:space="preserve"> - </v>
          </cell>
          <cell r="T385">
            <v>0</v>
          </cell>
        </row>
        <row r="386">
          <cell r="S386" t="str">
            <v xml:space="preserve"> - </v>
          </cell>
          <cell r="T386">
            <v>0</v>
          </cell>
        </row>
        <row r="387">
          <cell r="S387" t="str">
            <v xml:space="preserve"> - </v>
          </cell>
          <cell r="T387">
            <v>0</v>
          </cell>
        </row>
        <row r="388">
          <cell r="S388" t="str">
            <v xml:space="preserve"> - </v>
          </cell>
          <cell r="T388">
            <v>0</v>
          </cell>
        </row>
        <row r="389">
          <cell r="S389" t="str">
            <v xml:space="preserve"> - </v>
          </cell>
          <cell r="T389">
            <v>0</v>
          </cell>
        </row>
        <row r="390">
          <cell r="S390" t="str">
            <v xml:space="preserve"> - </v>
          </cell>
          <cell r="T390">
            <v>0</v>
          </cell>
        </row>
        <row r="391">
          <cell r="S391" t="str">
            <v xml:space="preserve"> - </v>
          </cell>
          <cell r="T391">
            <v>0</v>
          </cell>
        </row>
        <row r="392">
          <cell r="S392" t="str">
            <v xml:space="preserve"> - </v>
          </cell>
          <cell r="T392">
            <v>0</v>
          </cell>
        </row>
        <row r="393">
          <cell r="S393" t="str">
            <v xml:space="preserve"> - </v>
          </cell>
          <cell r="T393">
            <v>0</v>
          </cell>
        </row>
        <row r="394">
          <cell r="S394" t="str">
            <v xml:space="preserve"> - </v>
          </cell>
          <cell r="T394">
            <v>0</v>
          </cell>
        </row>
        <row r="395">
          <cell r="S395" t="str">
            <v xml:space="preserve"> - </v>
          </cell>
          <cell r="T395">
            <v>0</v>
          </cell>
        </row>
        <row r="396">
          <cell r="S396" t="str">
            <v xml:space="preserve"> - </v>
          </cell>
          <cell r="T396">
            <v>0</v>
          </cell>
        </row>
        <row r="397">
          <cell r="S397" t="str">
            <v xml:space="preserve"> - </v>
          </cell>
          <cell r="T397">
            <v>0</v>
          </cell>
        </row>
        <row r="398">
          <cell r="S398" t="str">
            <v xml:space="preserve"> - </v>
          </cell>
          <cell r="T398">
            <v>0</v>
          </cell>
        </row>
        <row r="399">
          <cell r="S399" t="str">
            <v xml:space="preserve"> - </v>
          </cell>
          <cell r="T399">
            <v>0</v>
          </cell>
        </row>
        <row r="400">
          <cell r="S400" t="str">
            <v xml:space="preserve"> - </v>
          </cell>
          <cell r="T400">
            <v>0</v>
          </cell>
        </row>
        <row r="401">
          <cell r="S401" t="str">
            <v xml:space="preserve"> - </v>
          </cell>
          <cell r="T401">
            <v>0</v>
          </cell>
        </row>
        <row r="402">
          <cell r="S402" t="str">
            <v xml:space="preserve"> - </v>
          </cell>
          <cell r="T402">
            <v>0</v>
          </cell>
        </row>
        <row r="403">
          <cell r="S403" t="str">
            <v xml:space="preserve"> - </v>
          </cell>
          <cell r="T403">
            <v>0</v>
          </cell>
        </row>
        <row r="404">
          <cell r="S404" t="str">
            <v xml:space="preserve"> - </v>
          </cell>
          <cell r="T404">
            <v>0</v>
          </cell>
        </row>
        <row r="405">
          <cell r="S405" t="str">
            <v xml:space="preserve"> - </v>
          </cell>
          <cell r="T405">
            <v>0</v>
          </cell>
        </row>
        <row r="406">
          <cell r="S406" t="str">
            <v xml:space="preserve"> - </v>
          </cell>
          <cell r="T406">
            <v>0</v>
          </cell>
        </row>
        <row r="407">
          <cell r="S407" t="str">
            <v xml:space="preserve"> - </v>
          </cell>
          <cell r="T407">
            <v>0</v>
          </cell>
        </row>
        <row r="408">
          <cell r="S408" t="str">
            <v xml:space="preserve"> - </v>
          </cell>
          <cell r="T408">
            <v>0</v>
          </cell>
        </row>
        <row r="409">
          <cell r="S409" t="str">
            <v xml:space="preserve"> - </v>
          </cell>
          <cell r="T409">
            <v>0</v>
          </cell>
        </row>
        <row r="410">
          <cell r="S410" t="str">
            <v xml:space="preserve"> - </v>
          </cell>
          <cell r="T410">
            <v>0</v>
          </cell>
        </row>
        <row r="411">
          <cell r="S411" t="str">
            <v xml:space="preserve"> - </v>
          </cell>
          <cell r="T411">
            <v>0</v>
          </cell>
        </row>
        <row r="412">
          <cell r="S412" t="str">
            <v xml:space="preserve"> - </v>
          </cell>
          <cell r="T412">
            <v>0</v>
          </cell>
        </row>
        <row r="413">
          <cell r="S413" t="str">
            <v xml:space="preserve"> - </v>
          </cell>
          <cell r="T413">
            <v>0</v>
          </cell>
        </row>
        <row r="414">
          <cell r="S414" t="str">
            <v xml:space="preserve"> - </v>
          </cell>
          <cell r="T414">
            <v>0</v>
          </cell>
        </row>
        <row r="415">
          <cell r="S415" t="str">
            <v xml:space="preserve"> - </v>
          </cell>
          <cell r="T415">
            <v>0</v>
          </cell>
        </row>
        <row r="416">
          <cell r="S416" t="str">
            <v xml:space="preserve"> - </v>
          </cell>
          <cell r="T416">
            <v>0</v>
          </cell>
        </row>
        <row r="417">
          <cell r="S417" t="str">
            <v xml:space="preserve"> - </v>
          </cell>
          <cell r="T417">
            <v>0</v>
          </cell>
        </row>
        <row r="418">
          <cell r="S418" t="str">
            <v xml:space="preserve"> - </v>
          </cell>
          <cell r="T418">
            <v>0</v>
          </cell>
        </row>
        <row r="419">
          <cell r="S419" t="str">
            <v xml:space="preserve"> - </v>
          </cell>
          <cell r="T419">
            <v>0</v>
          </cell>
        </row>
        <row r="420">
          <cell r="S420" t="str">
            <v xml:space="preserve"> - </v>
          </cell>
          <cell r="T420">
            <v>0</v>
          </cell>
        </row>
        <row r="421">
          <cell r="S421" t="str">
            <v xml:space="preserve"> - </v>
          </cell>
          <cell r="T421">
            <v>0</v>
          </cell>
        </row>
        <row r="422">
          <cell r="S422" t="str">
            <v xml:space="preserve"> - </v>
          </cell>
          <cell r="T422">
            <v>0</v>
          </cell>
        </row>
        <row r="423">
          <cell r="S423" t="str">
            <v xml:space="preserve"> - </v>
          </cell>
          <cell r="T423">
            <v>0</v>
          </cell>
        </row>
        <row r="424">
          <cell r="S424" t="str">
            <v xml:space="preserve"> - </v>
          </cell>
          <cell r="T424">
            <v>0</v>
          </cell>
        </row>
        <row r="425">
          <cell r="S425" t="str">
            <v xml:space="preserve"> - </v>
          </cell>
          <cell r="T425">
            <v>0</v>
          </cell>
        </row>
        <row r="426">
          <cell r="S426" t="str">
            <v xml:space="preserve"> - </v>
          </cell>
          <cell r="T426">
            <v>0</v>
          </cell>
        </row>
        <row r="427">
          <cell r="S427" t="str">
            <v xml:space="preserve"> - </v>
          </cell>
          <cell r="T427">
            <v>0</v>
          </cell>
        </row>
        <row r="428">
          <cell r="S428" t="str">
            <v xml:space="preserve"> - </v>
          </cell>
          <cell r="T428">
            <v>0</v>
          </cell>
        </row>
        <row r="429">
          <cell r="S429" t="str">
            <v xml:space="preserve"> - </v>
          </cell>
          <cell r="T429">
            <v>0</v>
          </cell>
        </row>
        <row r="430">
          <cell r="S430" t="str">
            <v xml:space="preserve"> - </v>
          </cell>
          <cell r="T430">
            <v>0</v>
          </cell>
        </row>
        <row r="431">
          <cell r="S431" t="str">
            <v xml:space="preserve"> - </v>
          </cell>
          <cell r="T431">
            <v>0</v>
          </cell>
        </row>
        <row r="432">
          <cell r="S432" t="str">
            <v xml:space="preserve"> - </v>
          </cell>
          <cell r="T432">
            <v>0</v>
          </cell>
        </row>
        <row r="433">
          <cell r="S433" t="str">
            <v xml:space="preserve"> - </v>
          </cell>
          <cell r="T433">
            <v>0</v>
          </cell>
        </row>
        <row r="434">
          <cell r="S434" t="str">
            <v xml:space="preserve"> - </v>
          </cell>
          <cell r="T434">
            <v>0</v>
          </cell>
        </row>
        <row r="435">
          <cell r="S435" t="str">
            <v xml:space="preserve"> - </v>
          </cell>
          <cell r="T435">
            <v>0</v>
          </cell>
        </row>
        <row r="436">
          <cell r="S436" t="str">
            <v xml:space="preserve"> - </v>
          </cell>
          <cell r="T436">
            <v>0</v>
          </cell>
        </row>
        <row r="437">
          <cell r="S437" t="str">
            <v xml:space="preserve"> - </v>
          </cell>
          <cell r="T437">
            <v>0</v>
          </cell>
        </row>
        <row r="438">
          <cell r="S438" t="str">
            <v xml:space="preserve"> - </v>
          </cell>
          <cell r="T438">
            <v>0</v>
          </cell>
        </row>
        <row r="439">
          <cell r="S439" t="str">
            <v xml:space="preserve"> - </v>
          </cell>
          <cell r="T439">
            <v>0</v>
          </cell>
        </row>
        <row r="440">
          <cell r="S440" t="str">
            <v xml:space="preserve"> - </v>
          </cell>
          <cell r="T440">
            <v>0</v>
          </cell>
        </row>
        <row r="441">
          <cell r="S441" t="str">
            <v xml:space="preserve"> - </v>
          </cell>
          <cell r="T441">
            <v>0</v>
          </cell>
        </row>
        <row r="442">
          <cell r="S442" t="str">
            <v xml:space="preserve"> - </v>
          </cell>
          <cell r="T442">
            <v>0</v>
          </cell>
        </row>
        <row r="443">
          <cell r="S443" t="str">
            <v xml:space="preserve"> - </v>
          </cell>
          <cell r="T443">
            <v>0</v>
          </cell>
        </row>
        <row r="444">
          <cell r="S444" t="str">
            <v xml:space="preserve"> - </v>
          </cell>
          <cell r="T444">
            <v>0</v>
          </cell>
        </row>
        <row r="445">
          <cell r="S445" t="str">
            <v xml:space="preserve"> - </v>
          </cell>
          <cell r="T445">
            <v>0</v>
          </cell>
        </row>
        <row r="446">
          <cell r="S446" t="str">
            <v xml:space="preserve"> - </v>
          </cell>
          <cell r="T446">
            <v>0</v>
          </cell>
        </row>
        <row r="447">
          <cell r="S447" t="str">
            <v xml:space="preserve"> - </v>
          </cell>
          <cell r="T447">
            <v>0</v>
          </cell>
        </row>
        <row r="448">
          <cell r="S448" t="str">
            <v xml:space="preserve"> - </v>
          </cell>
          <cell r="T448">
            <v>0</v>
          </cell>
        </row>
        <row r="449">
          <cell r="S449" t="str">
            <v xml:space="preserve"> - </v>
          </cell>
          <cell r="T449">
            <v>0</v>
          </cell>
        </row>
        <row r="450">
          <cell r="S450" t="str">
            <v xml:space="preserve"> - </v>
          </cell>
          <cell r="T450">
            <v>0</v>
          </cell>
        </row>
        <row r="451">
          <cell r="S451" t="str">
            <v xml:space="preserve"> - </v>
          </cell>
          <cell r="T451">
            <v>0</v>
          </cell>
        </row>
        <row r="452">
          <cell r="S452" t="str">
            <v xml:space="preserve"> - </v>
          </cell>
          <cell r="T452">
            <v>0</v>
          </cell>
        </row>
        <row r="453">
          <cell r="S453" t="str">
            <v xml:space="preserve"> - </v>
          </cell>
          <cell r="T453">
            <v>0</v>
          </cell>
        </row>
        <row r="454">
          <cell r="S454" t="str">
            <v xml:space="preserve"> - </v>
          </cell>
          <cell r="T454">
            <v>0</v>
          </cell>
        </row>
        <row r="455">
          <cell r="S455" t="str">
            <v xml:space="preserve"> - </v>
          </cell>
          <cell r="T455">
            <v>0</v>
          </cell>
        </row>
        <row r="456">
          <cell r="S456" t="str">
            <v xml:space="preserve"> - </v>
          </cell>
          <cell r="T456">
            <v>0</v>
          </cell>
        </row>
        <row r="457">
          <cell r="S457" t="str">
            <v xml:space="preserve"> - </v>
          </cell>
          <cell r="T457">
            <v>0</v>
          </cell>
        </row>
        <row r="458">
          <cell r="S458" t="str">
            <v xml:space="preserve"> - </v>
          </cell>
          <cell r="T458">
            <v>0</v>
          </cell>
        </row>
        <row r="459">
          <cell r="S459" t="str">
            <v xml:space="preserve"> - </v>
          </cell>
          <cell r="T459">
            <v>0</v>
          </cell>
        </row>
        <row r="460">
          <cell r="S460" t="str">
            <v xml:space="preserve"> - </v>
          </cell>
          <cell r="T460">
            <v>0</v>
          </cell>
        </row>
        <row r="461">
          <cell r="S461" t="str">
            <v xml:space="preserve"> - </v>
          </cell>
          <cell r="T461">
            <v>0</v>
          </cell>
        </row>
        <row r="462">
          <cell r="S462" t="str">
            <v xml:space="preserve"> - </v>
          </cell>
          <cell r="T462">
            <v>0</v>
          </cell>
        </row>
        <row r="463">
          <cell r="S463" t="str">
            <v xml:space="preserve"> - </v>
          </cell>
          <cell r="T463">
            <v>0</v>
          </cell>
        </row>
        <row r="464">
          <cell r="S464" t="str">
            <v xml:space="preserve"> - </v>
          </cell>
          <cell r="T464">
            <v>0</v>
          </cell>
        </row>
        <row r="465">
          <cell r="S465" t="str">
            <v xml:space="preserve"> - </v>
          </cell>
          <cell r="T465">
            <v>0</v>
          </cell>
        </row>
        <row r="466">
          <cell r="S466" t="str">
            <v xml:space="preserve"> - </v>
          </cell>
          <cell r="T466">
            <v>0</v>
          </cell>
        </row>
        <row r="467">
          <cell r="S467" t="str">
            <v xml:space="preserve"> - </v>
          </cell>
          <cell r="T467">
            <v>0</v>
          </cell>
        </row>
        <row r="468">
          <cell r="S468" t="str">
            <v xml:space="preserve"> - </v>
          </cell>
          <cell r="T468">
            <v>0</v>
          </cell>
        </row>
        <row r="469">
          <cell r="S469" t="str">
            <v xml:space="preserve"> - </v>
          </cell>
          <cell r="T469">
            <v>0</v>
          </cell>
        </row>
        <row r="470">
          <cell r="S470" t="str">
            <v xml:space="preserve"> - </v>
          </cell>
          <cell r="T470">
            <v>0</v>
          </cell>
        </row>
        <row r="471">
          <cell r="S471" t="str">
            <v xml:space="preserve"> - </v>
          </cell>
          <cell r="T471">
            <v>0</v>
          </cell>
        </row>
        <row r="472">
          <cell r="S472" t="str">
            <v xml:space="preserve"> - </v>
          </cell>
          <cell r="T472">
            <v>0</v>
          </cell>
        </row>
        <row r="473">
          <cell r="S473" t="str">
            <v xml:space="preserve"> - </v>
          </cell>
          <cell r="T473">
            <v>0</v>
          </cell>
        </row>
        <row r="474">
          <cell r="S474" t="str">
            <v xml:space="preserve"> - </v>
          </cell>
          <cell r="T474">
            <v>0</v>
          </cell>
        </row>
        <row r="475">
          <cell r="S475" t="str">
            <v xml:space="preserve"> - </v>
          </cell>
          <cell r="T475">
            <v>0</v>
          </cell>
        </row>
        <row r="476">
          <cell r="S476" t="str">
            <v xml:space="preserve"> - </v>
          </cell>
          <cell r="T476">
            <v>0</v>
          </cell>
        </row>
        <row r="477">
          <cell r="S477" t="str">
            <v xml:space="preserve"> - </v>
          </cell>
          <cell r="T477">
            <v>0</v>
          </cell>
        </row>
        <row r="478">
          <cell r="S478" t="str">
            <v xml:space="preserve"> - </v>
          </cell>
          <cell r="T478">
            <v>0</v>
          </cell>
        </row>
        <row r="479">
          <cell r="S479" t="str">
            <v xml:space="preserve"> - </v>
          </cell>
          <cell r="T479">
            <v>0</v>
          </cell>
        </row>
        <row r="480">
          <cell r="S480" t="str">
            <v xml:space="preserve"> - </v>
          </cell>
          <cell r="T480">
            <v>0</v>
          </cell>
        </row>
        <row r="481">
          <cell r="S481" t="str">
            <v xml:space="preserve"> - </v>
          </cell>
          <cell r="T481">
            <v>0</v>
          </cell>
        </row>
        <row r="482">
          <cell r="S482" t="str">
            <v xml:space="preserve"> - </v>
          </cell>
          <cell r="T482">
            <v>0</v>
          </cell>
        </row>
        <row r="483">
          <cell r="S483" t="str">
            <v xml:space="preserve"> - </v>
          </cell>
          <cell r="T483">
            <v>0</v>
          </cell>
        </row>
        <row r="484">
          <cell r="S484" t="str">
            <v xml:space="preserve"> - </v>
          </cell>
          <cell r="T484">
            <v>0</v>
          </cell>
        </row>
        <row r="485">
          <cell r="S485" t="str">
            <v xml:space="preserve"> - </v>
          </cell>
          <cell r="T485">
            <v>0</v>
          </cell>
        </row>
        <row r="486">
          <cell r="S486" t="str">
            <v xml:space="preserve"> - </v>
          </cell>
          <cell r="T486">
            <v>0</v>
          </cell>
        </row>
        <row r="487">
          <cell r="S487" t="str">
            <v xml:space="preserve"> - </v>
          </cell>
          <cell r="T487">
            <v>0</v>
          </cell>
        </row>
        <row r="488">
          <cell r="S488" t="str">
            <v xml:space="preserve"> - </v>
          </cell>
          <cell r="T488">
            <v>0</v>
          </cell>
        </row>
        <row r="489">
          <cell r="S489" t="str">
            <v xml:space="preserve"> - </v>
          </cell>
          <cell r="T489">
            <v>0</v>
          </cell>
        </row>
        <row r="490">
          <cell r="S490" t="str">
            <v xml:space="preserve"> - </v>
          </cell>
          <cell r="T490">
            <v>0</v>
          </cell>
        </row>
        <row r="491">
          <cell r="S491" t="str">
            <v xml:space="preserve"> - </v>
          </cell>
          <cell r="T491">
            <v>0</v>
          </cell>
        </row>
        <row r="492">
          <cell r="S492" t="str">
            <v xml:space="preserve"> - </v>
          </cell>
          <cell r="T492">
            <v>0</v>
          </cell>
        </row>
        <row r="493">
          <cell r="S493" t="str">
            <v xml:space="preserve"> - </v>
          </cell>
          <cell r="T493">
            <v>0</v>
          </cell>
        </row>
        <row r="494">
          <cell r="S494" t="str">
            <v xml:space="preserve"> - </v>
          </cell>
          <cell r="T494">
            <v>0</v>
          </cell>
        </row>
        <row r="495">
          <cell r="S495" t="str">
            <v xml:space="preserve"> - </v>
          </cell>
          <cell r="T495">
            <v>0</v>
          </cell>
        </row>
        <row r="496">
          <cell r="S496" t="str">
            <v xml:space="preserve"> - </v>
          </cell>
          <cell r="T496">
            <v>0</v>
          </cell>
        </row>
        <row r="497">
          <cell r="S497" t="str">
            <v xml:space="preserve"> - </v>
          </cell>
          <cell r="T497">
            <v>0</v>
          </cell>
        </row>
        <row r="498">
          <cell r="S498" t="str">
            <v xml:space="preserve"> - </v>
          </cell>
          <cell r="T498">
            <v>0</v>
          </cell>
        </row>
        <row r="499">
          <cell r="S499" t="str">
            <v xml:space="preserve"> - </v>
          </cell>
          <cell r="T499">
            <v>0</v>
          </cell>
        </row>
        <row r="500">
          <cell r="S500" t="str">
            <v xml:space="preserve"> - </v>
          </cell>
          <cell r="T500">
            <v>0</v>
          </cell>
        </row>
        <row r="501">
          <cell r="S501" t="str">
            <v xml:space="preserve"> - </v>
          </cell>
          <cell r="T501">
            <v>0</v>
          </cell>
        </row>
        <row r="502">
          <cell r="S502" t="str">
            <v xml:space="preserve"> - </v>
          </cell>
          <cell r="T502">
            <v>0</v>
          </cell>
        </row>
        <row r="503">
          <cell r="S503" t="str">
            <v xml:space="preserve"> - </v>
          </cell>
          <cell r="T503">
            <v>0</v>
          </cell>
        </row>
        <row r="504">
          <cell r="S504" t="str">
            <v xml:space="preserve"> - </v>
          </cell>
          <cell r="T504">
            <v>0</v>
          </cell>
        </row>
        <row r="505">
          <cell r="S505" t="str">
            <v xml:space="preserve"> - </v>
          </cell>
          <cell r="T505">
            <v>0</v>
          </cell>
        </row>
        <row r="506">
          <cell r="S506" t="str">
            <v xml:space="preserve"> - </v>
          </cell>
          <cell r="T506">
            <v>0</v>
          </cell>
        </row>
        <row r="507">
          <cell r="S507" t="str">
            <v xml:space="preserve"> - </v>
          </cell>
          <cell r="T507">
            <v>0</v>
          </cell>
        </row>
        <row r="508">
          <cell r="S508" t="str">
            <v xml:space="preserve"> - </v>
          </cell>
          <cell r="T508">
            <v>0</v>
          </cell>
        </row>
        <row r="509">
          <cell r="S509" t="str">
            <v xml:space="preserve"> - </v>
          </cell>
          <cell r="T509">
            <v>0</v>
          </cell>
        </row>
        <row r="510">
          <cell r="S510" t="str">
            <v xml:space="preserve"> - </v>
          </cell>
          <cell r="T510">
            <v>0</v>
          </cell>
        </row>
        <row r="511">
          <cell r="S511" t="str">
            <v xml:space="preserve"> - </v>
          </cell>
          <cell r="T511">
            <v>0</v>
          </cell>
        </row>
        <row r="512">
          <cell r="S512" t="str">
            <v xml:space="preserve"> - </v>
          </cell>
          <cell r="T512">
            <v>0</v>
          </cell>
        </row>
        <row r="513">
          <cell r="S513" t="str">
            <v xml:space="preserve"> - </v>
          </cell>
          <cell r="T513">
            <v>0</v>
          </cell>
        </row>
        <row r="514">
          <cell r="S514" t="str">
            <v xml:space="preserve"> - </v>
          </cell>
          <cell r="T514">
            <v>0</v>
          </cell>
        </row>
        <row r="515">
          <cell r="S515" t="str">
            <v xml:space="preserve"> - </v>
          </cell>
          <cell r="T515">
            <v>0</v>
          </cell>
        </row>
        <row r="516">
          <cell r="S516" t="str">
            <v xml:space="preserve"> - </v>
          </cell>
          <cell r="T516">
            <v>0</v>
          </cell>
        </row>
        <row r="517">
          <cell r="S517" t="str">
            <v xml:space="preserve"> - </v>
          </cell>
          <cell r="T517">
            <v>0</v>
          </cell>
        </row>
        <row r="518">
          <cell r="S518" t="str">
            <v xml:space="preserve"> - </v>
          </cell>
          <cell r="T518">
            <v>0</v>
          </cell>
        </row>
        <row r="519">
          <cell r="S519" t="str">
            <v xml:space="preserve"> - </v>
          </cell>
          <cell r="T519">
            <v>0</v>
          </cell>
        </row>
        <row r="520">
          <cell r="S520" t="str">
            <v xml:space="preserve"> - </v>
          </cell>
          <cell r="T520">
            <v>0</v>
          </cell>
        </row>
        <row r="521">
          <cell r="S521" t="str">
            <v xml:space="preserve"> - </v>
          </cell>
          <cell r="T521">
            <v>0</v>
          </cell>
        </row>
        <row r="522">
          <cell r="S522" t="str">
            <v xml:space="preserve"> - </v>
          </cell>
          <cell r="T522">
            <v>0</v>
          </cell>
        </row>
        <row r="523">
          <cell r="S523" t="str">
            <v xml:space="preserve"> - </v>
          </cell>
          <cell r="T523">
            <v>0</v>
          </cell>
        </row>
        <row r="524">
          <cell r="S524" t="str">
            <v xml:space="preserve"> - </v>
          </cell>
          <cell r="T524">
            <v>0</v>
          </cell>
        </row>
        <row r="525">
          <cell r="S525" t="str">
            <v xml:space="preserve"> - </v>
          </cell>
          <cell r="T525">
            <v>0</v>
          </cell>
        </row>
        <row r="526">
          <cell r="S526" t="str">
            <v xml:space="preserve"> - </v>
          </cell>
          <cell r="T526">
            <v>0</v>
          </cell>
        </row>
        <row r="527">
          <cell r="S527" t="str">
            <v xml:space="preserve"> - </v>
          </cell>
          <cell r="T527">
            <v>0</v>
          </cell>
        </row>
        <row r="528">
          <cell r="S528" t="str">
            <v xml:space="preserve"> - </v>
          </cell>
          <cell r="T528">
            <v>0</v>
          </cell>
        </row>
        <row r="529">
          <cell r="S529" t="str">
            <v xml:space="preserve"> - </v>
          </cell>
          <cell r="T529">
            <v>0</v>
          </cell>
        </row>
        <row r="530">
          <cell r="S530" t="str">
            <v xml:space="preserve"> - </v>
          </cell>
          <cell r="T530">
            <v>0</v>
          </cell>
        </row>
        <row r="531">
          <cell r="S531" t="str">
            <v xml:space="preserve"> - </v>
          </cell>
          <cell r="T531">
            <v>0</v>
          </cell>
        </row>
        <row r="532">
          <cell r="S532" t="str">
            <v xml:space="preserve"> - </v>
          </cell>
          <cell r="T532">
            <v>0</v>
          </cell>
        </row>
        <row r="533">
          <cell r="S533" t="str">
            <v xml:space="preserve"> - </v>
          </cell>
          <cell r="T533">
            <v>0</v>
          </cell>
        </row>
        <row r="534">
          <cell r="S534" t="str">
            <v xml:space="preserve"> - </v>
          </cell>
          <cell r="T534">
            <v>0</v>
          </cell>
        </row>
        <row r="535">
          <cell r="S535" t="str">
            <v xml:space="preserve"> - </v>
          </cell>
          <cell r="T535">
            <v>0</v>
          </cell>
        </row>
        <row r="536">
          <cell r="S536" t="str">
            <v xml:space="preserve"> - </v>
          </cell>
          <cell r="T536">
            <v>0</v>
          </cell>
        </row>
        <row r="537">
          <cell r="S537" t="str">
            <v xml:space="preserve"> - </v>
          </cell>
          <cell r="T537">
            <v>0</v>
          </cell>
        </row>
        <row r="538">
          <cell r="S538" t="str">
            <v xml:space="preserve"> - </v>
          </cell>
          <cell r="T538">
            <v>0</v>
          </cell>
        </row>
        <row r="539">
          <cell r="S539" t="str">
            <v xml:space="preserve"> - </v>
          </cell>
          <cell r="T539">
            <v>0</v>
          </cell>
        </row>
        <row r="540">
          <cell r="S540" t="str">
            <v xml:space="preserve"> - </v>
          </cell>
          <cell r="T540">
            <v>0</v>
          </cell>
        </row>
        <row r="541">
          <cell r="S541" t="str">
            <v xml:space="preserve"> - </v>
          </cell>
          <cell r="T541">
            <v>0</v>
          </cell>
        </row>
        <row r="542">
          <cell r="S542" t="str">
            <v xml:space="preserve"> - </v>
          </cell>
          <cell r="T542">
            <v>0</v>
          </cell>
        </row>
        <row r="543">
          <cell r="S543" t="str">
            <v xml:space="preserve"> - </v>
          </cell>
          <cell r="T543">
            <v>0</v>
          </cell>
        </row>
        <row r="544">
          <cell r="S544" t="str">
            <v xml:space="preserve"> - </v>
          </cell>
          <cell r="T544">
            <v>0</v>
          </cell>
        </row>
        <row r="545">
          <cell r="S545" t="str">
            <v xml:space="preserve"> - </v>
          </cell>
          <cell r="T545">
            <v>0</v>
          </cell>
        </row>
        <row r="546">
          <cell r="S546" t="str">
            <v xml:space="preserve"> - </v>
          </cell>
          <cell r="T546">
            <v>0</v>
          </cell>
        </row>
        <row r="547">
          <cell r="S547" t="str">
            <v xml:space="preserve"> - </v>
          </cell>
          <cell r="T547">
            <v>0</v>
          </cell>
        </row>
        <row r="548">
          <cell r="S548" t="str">
            <v xml:space="preserve"> - </v>
          </cell>
          <cell r="T548">
            <v>0</v>
          </cell>
        </row>
        <row r="549">
          <cell r="S549" t="str">
            <v xml:space="preserve"> - </v>
          </cell>
          <cell r="T549">
            <v>0</v>
          </cell>
        </row>
        <row r="550">
          <cell r="S550" t="str">
            <v xml:space="preserve"> - </v>
          </cell>
          <cell r="T550">
            <v>0</v>
          </cell>
        </row>
        <row r="551">
          <cell r="S551" t="str">
            <v xml:space="preserve"> - </v>
          </cell>
          <cell r="T551">
            <v>0</v>
          </cell>
        </row>
        <row r="552">
          <cell r="S552" t="str">
            <v xml:space="preserve"> - </v>
          </cell>
          <cell r="T552">
            <v>0</v>
          </cell>
        </row>
        <row r="553">
          <cell r="S553" t="str">
            <v xml:space="preserve"> - </v>
          </cell>
          <cell r="T553">
            <v>0</v>
          </cell>
        </row>
        <row r="554">
          <cell r="S554" t="str">
            <v xml:space="preserve"> - </v>
          </cell>
          <cell r="T554">
            <v>0</v>
          </cell>
        </row>
        <row r="555">
          <cell r="S555" t="str">
            <v xml:space="preserve"> - </v>
          </cell>
          <cell r="T555">
            <v>0</v>
          </cell>
        </row>
        <row r="556">
          <cell r="S556" t="str">
            <v xml:space="preserve"> - </v>
          </cell>
          <cell r="T556">
            <v>0</v>
          </cell>
        </row>
        <row r="557">
          <cell r="S557" t="str">
            <v xml:space="preserve"> - </v>
          </cell>
          <cell r="T557">
            <v>0</v>
          </cell>
        </row>
        <row r="558">
          <cell r="S558" t="str">
            <v xml:space="preserve"> - </v>
          </cell>
          <cell r="T558">
            <v>0</v>
          </cell>
        </row>
        <row r="559">
          <cell r="S559" t="str">
            <v xml:space="preserve"> - </v>
          </cell>
          <cell r="T559">
            <v>0</v>
          </cell>
        </row>
        <row r="560">
          <cell r="S560" t="str">
            <v xml:space="preserve"> - </v>
          </cell>
          <cell r="T560">
            <v>0</v>
          </cell>
        </row>
        <row r="561">
          <cell r="S561" t="str">
            <v xml:space="preserve"> - </v>
          </cell>
          <cell r="T561">
            <v>0</v>
          </cell>
        </row>
        <row r="562">
          <cell r="S562" t="str">
            <v xml:space="preserve"> - </v>
          </cell>
          <cell r="T562">
            <v>0</v>
          </cell>
        </row>
        <row r="563">
          <cell r="S563" t="str">
            <v xml:space="preserve"> - </v>
          </cell>
          <cell r="T563">
            <v>0</v>
          </cell>
        </row>
        <row r="564">
          <cell r="S564" t="str">
            <v xml:space="preserve"> - </v>
          </cell>
          <cell r="T564">
            <v>0</v>
          </cell>
        </row>
        <row r="565">
          <cell r="S565" t="str">
            <v xml:space="preserve"> - </v>
          </cell>
          <cell r="T565">
            <v>0</v>
          </cell>
        </row>
        <row r="566">
          <cell r="S566" t="str">
            <v xml:space="preserve"> - </v>
          </cell>
          <cell r="T566">
            <v>0</v>
          </cell>
        </row>
        <row r="567">
          <cell r="S567" t="str">
            <v xml:space="preserve"> - </v>
          </cell>
          <cell r="T567">
            <v>0</v>
          </cell>
        </row>
        <row r="568">
          <cell r="S568" t="str">
            <v xml:space="preserve"> - </v>
          </cell>
          <cell r="T568">
            <v>0</v>
          </cell>
        </row>
        <row r="569">
          <cell r="S569" t="str">
            <v xml:space="preserve"> - </v>
          </cell>
          <cell r="T569">
            <v>0</v>
          </cell>
        </row>
        <row r="570">
          <cell r="S570" t="str">
            <v xml:space="preserve"> - </v>
          </cell>
          <cell r="T570">
            <v>0</v>
          </cell>
        </row>
        <row r="571">
          <cell r="S571" t="str">
            <v xml:space="preserve"> - </v>
          </cell>
          <cell r="T571">
            <v>0</v>
          </cell>
        </row>
        <row r="572">
          <cell r="S572" t="str">
            <v xml:space="preserve"> - </v>
          </cell>
          <cell r="T572">
            <v>0</v>
          </cell>
        </row>
        <row r="573">
          <cell r="S573" t="str">
            <v xml:space="preserve"> - </v>
          </cell>
          <cell r="T573">
            <v>0</v>
          </cell>
        </row>
        <row r="574">
          <cell r="S574" t="str">
            <v xml:space="preserve"> - </v>
          </cell>
          <cell r="T574">
            <v>0</v>
          </cell>
        </row>
        <row r="575">
          <cell r="S575" t="str">
            <v xml:space="preserve"> - </v>
          </cell>
          <cell r="T575">
            <v>0</v>
          </cell>
        </row>
        <row r="576">
          <cell r="S576" t="str">
            <v xml:space="preserve"> - </v>
          </cell>
          <cell r="T576">
            <v>0</v>
          </cell>
        </row>
        <row r="577">
          <cell r="S577" t="str">
            <v xml:space="preserve"> - </v>
          </cell>
          <cell r="T577">
            <v>0</v>
          </cell>
        </row>
        <row r="578">
          <cell r="S578" t="str">
            <v xml:space="preserve"> - </v>
          </cell>
          <cell r="T578">
            <v>0</v>
          </cell>
        </row>
        <row r="579">
          <cell r="S579" t="str">
            <v xml:space="preserve"> - </v>
          </cell>
          <cell r="T579">
            <v>0</v>
          </cell>
        </row>
        <row r="580">
          <cell r="S580" t="str">
            <v xml:space="preserve"> - </v>
          </cell>
          <cell r="T580">
            <v>0</v>
          </cell>
        </row>
        <row r="581">
          <cell r="S581" t="str">
            <v xml:space="preserve"> - </v>
          </cell>
          <cell r="T581">
            <v>0</v>
          </cell>
        </row>
        <row r="582">
          <cell r="S582" t="str">
            <v xml:space="preserve"> - </v>
          </cell>
          <cell r="T582">
            <v>0</v>
          </cell>
        </row>
        <row r="583">
          <cell r="S583" t="str">
            <v xml:space="preserve"> - </v>
          </cell>
          <cell r="T583">
            <v>0</v>
          </cell>
        </row>
        <row r="584">
          <cell r="S584" t="str">
            <v xml:space="preserve"> - </v>
          </cell>
          <cell r="T584">
            <v>0</v>
          </cell>
        </row>
        <row r="585">
          <cell r="S585" t="str">
            <v xml:space="preserve"> - </v>
          </cell>
          <cell r="T585">
            <v>0</v>
          </cell>
        </row>
        <row r="586">
          <cell r="S586" t="str">
            <v xml:space="preserve"> - </v>
          </cell>
          <cell r="T586">
            <v>0</v>
          </cell>
        </row>
        <row r="587">
          <cell r="S587" t="str">
            <v xml:space="preserve"> - </v>
          </cell>
          <cell r="T587">
            <v>0</v>
          </cell>
        </row>
        <row r="588">
          <cell r="S588" t="str">
            <v xml:space="preserve"> - </v>
          </cell>
          <cell r="T588">
            <v>0</v>
          </cell>
        </row>
        <row r="589">
          <cell r="S589" t="str">
            <v xml:space="preserve"> - </v>
          </cell>
          <cell r="T589">
            <v>0</v>
          </cell>
        </row>
        <row r="590">
          <cell r="S590" t="str">
            <v xml:space="preserve"> - </v>
          </cell>
          <cell r="T590">
            <v>0</v>
          </cell>
        </row>
        <row r="591">
          <cell r="S591" t="str">
            <v xml:space="preserve"> - </v>
          </cell>
          <cell r="T591">
            <v>0</v>
          </cell>
        </row>
        <row r="592">
          <cell r="S592" t="str">
            <v xml:space="preserve"> - </v>
          </cell>
          <cell r="T592">
            <v>0</v>
          </cell>
        </row>
        <row r="593">
          <cell r="S593" t="str">
            <v xml:space="preserve"> - </v>
          </cell>
          <cell r="T593">
            <v>0</v>
          </cell>
        </row>
        <row r="594">
          <cell r="S594" t="str">
            <v xml:space="preserve"> - </v>
          </cell>
          <cell r="T594">
            <v>0</v>
          </cell>
        </row>
        <row r="595">
          <cell r="S595" t="str">
            <v xml:space="preserve"> - </v>
          </cell>
          <cell r="T595">
            <v>0</v>
          </cell>
        </row>
        <row r="596">
          <cell r="S596" t="str">
            <v xml:space="preserve"> - </v>
          </cell>
          <cell r="T596">
            <v>0</v>
          </cell>
        </row>
        <row r="597">
          <cell r="S597" t="str">
            <v xml:space="preserve"> - </v>
          </cell>
          <cell r="T597">
            <v>0</v>
          </cell>
        </row>
        <row r="598">
          <cell r="S598" t="str">
            <v xml:space="preserve"> - </v>
          </cell>
          <cell r="T598">
            <v>0</v>
          </cell>
        </row>
        <row r="599">
          <cell r="S599" t="str">
            <v xml:space="preserve"> - </v>
          </cell>
          <cell r="T599">
            <v>0</v>
          </cell>
        </row>
        <row r="600">
          <cell r="S600" t="str">
            <v xml:space="preserve"> - </v>
          </cell>
          <cell r="T600">
            <v>0</v>
          </cell>
        </row>
        <row r="601">
          <cell r="S601" t="str">
            <v xml:space="preserve"> - </v>
          </cell>
          <cell r="T601">
            <v>0</v>
          </cell>
        </row>
        <row r="602">
          <cell r="S602" t="str">
            <v xml:space="preserve"> - </v>
          </cell>
          <cell r="T602">
            <v>0</v>
          </cell>
        </row>
        <row r="603">
          <cell r="S603" t="str">
            <v xml:space="preserve"> - </v>
          </cell>
          <cell r="T603">
            <v>0</v>
          </cell>
        </row>
        <row r="604">
          <cell r="S604" t="str">
            <v xml:space="preserve"> - </v>
          </cell>
          <cell r="T604">
            <v>0</v>
          </cell>
        </row>
        <row r="605">
          <cell r="S605" t="str">
            <v xml:space="preserve"> - </v>
          </cell>
          <cell r="T605">
            <v>0</v>
          </cell>
        </row>
        <row r="606">
          <cell r="S606" t="str">
            <v xml:space="preserve"> - </v>
          </cell>
          <cell r="T606">
            <v>0</v>
          </cell>
        </row>
        <row r="607">
          <cell r="S607" t="str">
            <v xml:space="preserve"> - </v>
          </cell>
          <cell r="T607">
            <v>0</v>
          </cell>
        </row>
        <row r="608">
          <cell r="S608" t="str">
            <v xml:space="preserve"> - </v>
          </cell>
          <cell r="T608">
            <v>0</v>
          </cell>
        </row>
        <row r="609">
          <cell r="S609" t="str">
            <v xml:space="preserve"> - </v>
          </cell>
          <cell r="T609">
            <v>0</v>
          </cell>
        </row>
        <row r="610">
          <cell r="S610" t="str">
            <v xml:space="preserve"> - </v>
          </cell>
          <cell r="T610">
            <v>0</v>
          </cell>
        </row>
        <row r="611">
          <cell r="S611" t="str">
            <v xml:space="preserve"> - </v>
          </cell>
          <cell r="T611">
            <v>0</v>
          </cell>
        </row>
        <row r="612">
          <cell r="S612" t="str">
            <v xml:space="preserve"> - </v>
          </cell>
          <cell r="T612">
            <v>0</v>
          </cell>
        </row>
        <row r="613">
          <cell r="S613" t="str">
            <v xml:space="preserve"> - </v>
          </cell>
          <cell r="T613">
            <v>0</v>
          </cell>
        </row>
        <row r="614">
          <cell r="S614" t="str">
            <v xml:space="preserve"> - </v>
          </cell>
          <cell r="T614">
            <v>0</v>
          </cell>
        </row>
        <row r="615">
          <cell r="S615" t="str">
            <v xml:space="preserve"> - </v>
          </cell>
          <cell r="T615">
            <v>0</v>
          </cell>
        </row>
        <row r="616">
          <cell r="S616" t="str">
            <v xml:space="preserve"> - </v>
          </cell>
          <cell r="T616">
            <v>0</v>
          </cell>
        </row>
        <row r="617">
          <cell r="S617" t="str">
            <v xml:space="preserve"> - </v>
          </cell>
          <cell r="T617">
            <v>0</v>
          </cell>
        </row>
        <row r="618">
          <cell r="S618" t="str">
            <v xml:space="preserve"> - </v>
          </cell>
          <cell r="T618">
            <v>0</v>
          </cell>
        </row>
        <row r="619">
          <cell r="S619" t="str">
            <v xml:space="preserve"> - </v>
          </cell>
          <cell r="T619">
            <v>0</v>
          </cell>
        </row>
        <row r="620">
          <cell r="S620" t="str">
            <v xml:space="preserve"> - </v>
          </cell>
          <cell r="T620">
            <v>0</v>
          </cell>
        </row>
        <row r="621">
          <cell r="S621" t="str">
            <v xml:space="preserve"> - </v>
          </cell>
          <cell r="T621">
            <v>0</v>
          </cell>
        </row>
        <row r="622">
          <cell r="S622" t="str">
            <v xml:space="preserve"> - </v>
          </cell>
          <cell r="T622">
            <v>0</v>
          </cell>
        </row>
        <row r="623">
          <cell r="S623" t="str">
            <v xml:space="preserve"> - </v>
          </cell>
          <cell r="T623">
            <v>0</v>
          </cell>
        </row>
        <row r="624">
          <cell r="S624" t="str">
            <v xml:space="preserve"> - </v>
          </cell>
          <cell r="T624">
            <v>0</v>
          </cell>
        </row>
        <row r="625">
          <cell r="S625" t="str">
            <v xml:space="preserve"> - </v>
          </cell>
          <cell r="T625">
            <v>0</v>
          </cell>
        </row>
        <row r="626">
          <cell r="S626" t="str">
            <v xml:space="preserve"> - </v>
          </cell>
          <cell r="T626">
            <v>0</v>
          </cell>
        </row>
        <row r="627">
          <cell r="S627" t="str">
            <v xml:space="preserve"> - </v>
          </cell>
          <cell r="T627">
            <v>0</v>
          </cell>
        </row>
        <row r="628">
          <cell r="S628" t="str">
            <v xml:space="preserve"> - </v>
          </cell>
          <cell r="T628">
            <v>0</v>
          </cell>
        </row>
        <row r="629">
          <cell r="S629" t="str">
            <v xml:space="preserve"> - </v>
          </cell>
          <cell r="T629">
            <v>0</v>
          </cell>
        </row>
        <row r="630">
          <cell r="S630" t="str">
            <v xml:space="preserve"> - </v>
          </cell>
          <cell r="T630">
            <v>0</v>
          </cell>
        </row>
        <row r="631">
          <cell r="S631" t="str">
            <v xml:space="preserve"> - </v>
          </cell>
          <cell r="T631">
            <v>0</v>
          </cell>
        </row>
        <row r="632">
          <cell r="S632" t="str">
            <v xml:space="preserve"> - </v>
          </cell>
          <cell r="T632">
            <v>0</v>
          </cell>
        </row>
        <row r="633">
          <cell r="S633" t="str">
            <v xml:space="preserve"> - </v>
          </cell>
          <cell r="T633">
            <v>0</v>
          </cell>
        </row>
        <row r="634">
          <cell r="S634" t="str">
            <v xml:space="preserve"> - </v>
          </cell>
          <cell r="T634">
            <v>0</v>
          </cell>
        </row>
        <row r="635">
          <cell r="S635" t="str">
            <v xml:space="preserve"> - </v>
          </cell>
          <cell r="T635">
            <v>0</v>
          </cell>
        </row>
        <row r="636">
          <cell r="S636" t="str">
            <v xml:space="preserve"> - </v>
          </cell>
          <cell r="T636">
            <v>0</v>
          </cell>
        </row>
        <row r="637">
          <cell r="S637" t="str">
            <v xml:space="preserve"> - </v>
          </cell>
          <cell r="T637">
            <v>0</v>
          </cell>
        </row>
        <row r="638">
          <cell r="S638" t="str">
            <v xml:space="preserve"> - </v>
          </cell>
          <cell r="T638">
            <v>0</v>
          </cell>
        </row>
        <row r="639">
          <cell r="S639" t="str">
            <v xml:space="preserve"> - </v>
          </cell>
          <cell r="T639">
            <v>0</v>
          </cell>
        </row>
        <row r="640">
          <cell r="S640" t="str">
            <v xml:space="preserve"> - </v>
          </cell>
          <cell r="T640">
            <v>0</v>
          </cell>
        </row>
        <row r="641">
          <cell r="S641" t="str">
            <v xml:space="preserve"> - </v>
          </cell>
          <cell r="T641">
            <v>0</v>
          </cell>
        </row>
        <row r="642">
          <cell r="S642" t="str">
            <v xml:space="preserve"> - </v>
          </cell>
          <cell r="T642">
            <v>0</v>
          </cell>
        </row>
        <row r="643">
          <cell r="S643" t="str">
            <v xml:space="preserve"> - </v>
          </cell>
          <cell r="T643">
            <v>0</v>
          </cell>
        </row>
        <row r="644">
          <cell r="S644" t="str">
            <v xml:space="preserve"> - </v>
          </cell>
          <cell r="T644">
            <v>0</v>
          </cell>
        </row>
        <row r="645">
          <cell r="S645" t="str">
            <v xml:space="preserve"> - </v>
          </cell>
          <cell r="T645">
            <v>0</v>
          </cell>
        </row>
        <row r="646">
          <cell r="S646" t="str">
            <v xml:space="preserve"> - </v>
          </cell>
          <cell r="T646">
            <v>0</v>
          </cell>
        </row>
        <row r="647">
          <cell r="S647" t="str">
            <v xml:space="preserve"> - </v>
          </cell>
          <cell r="T647">
            <v>0</v>
          </cell>
        </row>
        <row r="648">
          <cell r="S648" t="str">
            <v xml:space="preserve"> - </v>
          </cell>
          <cell r="T648">
            <v>0</v>
          </cell>
        </row>
        <row r="649">
          <cell r="S649" t="str">
            <v xml:space="preserve"> - </v>
          </cell>
          <cell r="T649">
            <v>0</v>
          </cell>
        </row>
        <row r="650">
          <cell r="S650" t="str">
            <v xml:space="preserve"> - </v>
          </cell>
          <cell r="T650">
            <v>0</v>
          </cell>
        </row>
        <row r="651">
          <cell r="S651" t="str">
            <v xml:space="preserve"> - </v>
          </cell>
          <cell r="T651">
            <v>0</v>
          </cell>
        </row>
        <row r="652">
          <cell r="S652" t="str">
            <v xml:space="preserve"> - </v>
          </cell>
          <cell r="T652">
            <v>0</v>
          </cell>
        </row>
        <row r="653">
          <cell r="S653" t="str">
            <v xml:space="preserve"> - </v>
          </cell>
          <cell r="T653">
            <v>0</v>
          </cell>
        </row>
        <row r="654">
          <cell r="S654" t="str">
            <v xml:space="preserve"> - </v>
          </cell>
          <cell r="T654">
            <v>0</v>
          </cell>
        </row>
        <row r="655">
          <cell r="S655" t="str">
            <v xml:space="preserve"> - </v>
          </cell>
          <cell r="T655">
            <v>0</v>
          </cell>
        </row>
        <row r="656">
          <cell r="S656" t="str">
            <v xml:space="preserve"> - </v>
          </cell>
          <cell r="T656">
            <v>0</v>
          </cell>
        </row>
        <row r="657">
          <cell r="S657" t="str">
            <v xml:space="preserve"> - </v>
          </cell>
          <cell r="T657">
            <v>0</v>
          </cell>
        </row>
        <row r="658">
          <cell r="S658" t="str">
            <v xml:space="preserve"> - </v>
          </cell>
          <cell r="T658">
            <v>0</v>
          </cell>
        </row>
        <row r="659">
          <cell r="S659" t="str">
            <v xml:space="preserve"> - </v>
          </cell>
          <cell r="T659">
            <v>0</v>
          </cell>
        </row>
        <row r="660">
          <cell r="S660" t="str">
            <v xml:space="preserve"> - </v>
          </cell>
          <cell r="T660">
            <v>0</v>
          </cell>
        </row>
        <row r="661">
          <cell r="S661" t="str">
            <v xml:space="preserve"> - </v>
          </cell>
          <cell r="T661">
            <v>0</v>
          </cell>
        </row>
        <row r="662">
          <cell r="S662" t="str">
            <v xml:space="preserve"> - </v>
          </cell>
          <cell r="T662">
            <v>0</v>
          </cell>
        </row>
        <row r="663">
          <cell r="S663" t="str">
            <v xml:space="preserve"> - </v>
          </cell>
          <cell r="T663">
            <v>0</v>
          </cell>
        </row>
        <row r="664">
          <cell r="S664" t="str">
            <v xml:space="preserve"> - </v>
          </cell>
          <cell r="T664">
            <v>0</v>
          </cell>
        </row>
        <row r="665">
          <cell r="S665" t="str">
            <v xml:space="preserve"> - </v>
          </cell>
          <cell r="T665">
            <v>0</v>
          </cell>
        </row>
        <row r="666">
          <cell r="S666" t="str">
            <v xml:space="preserve"> - </v>
          </cell>
          <cell r="T666">
            <v>0</v>
          </cell>
        </row>
        <row r="667">
          <cell r="S667" t="str">
            <v xml:space="preserve"> - </v>
          </cell>
          <cell r="T667">
            <v>0</v>
          </cell>
        </row>
        <row r="668">
          <cell r="S668" t="str">
            <v xml:space="preserve"> - </v>
          </cell>
          <cell r="T668">
            <v>0</v>
          </cell>
        </row>
        <row r="669">
          <cell r="S669" t="str">
            <v xml:space="preserve"> - </v>
          </cell>
          <cell r="T669">
            <v>0</v>
          </cell>
        </row>
        <row r="670">
          <cell r="S670" t="str">
            <v xml:space="preserve"> - </v>
          </cell>
          <cell r="T670">
            <v>0</v>
          </cell>
        </row>
        <row r="671">
          <cell r="S671" t="str">
            <v xml:space="preserve"> - </v>
          </cell>
          <cell r="T671">
            <v>0</v>
          </cell>
        </row>
        <row r="672">
          <cell r="S672" t="str">
            <v xml:space="preserve"> - </v>
          </cell>
          <cell r="T672">
            <v>0</v>
          </cell>
        </row>
        <row r="673">
          <cell r="S673" t="str">
            <v xml:space="preserve"> - </v>
          </cell>
          <cell r="T673">
            <v>0</v>
          </cell>
        </row>
        <row r="674">
          <cell r="S674" t="str">
            <v xml:space="preserve"> - </v>
          </cell>
          <cell r="T674">
            <v>0</v>
          </cell>
        </row>
        <row r="675">
          <cell r="S675" t="str">
            <v xml:space="preserve"> - </v>
          </cell>
          <cell r="T675">
            <v>0</v>
          </cell>
        </row>
        <row r="676">
          <cell r="S676" t="str">
            <v xml:space="preserve"> - </v>
          </cell>
          <cell r="T676">
            <v>0</v>
          </cell>
        </row>
        <row r="677">
          <cell r="S677" t="str">
            <v xml:space="preserve"> - </v>
          </cell>
          <cell r="T677">
            <v>0</v>
          </cell>
        </row>
        <row r="678">
          <cell r="S678" t="str">
            <v xml:space="preserve"> - </v>
          </cell>
          <cell r="T678">
            <v>0</v>
          </cell>
        </row>
        <row r="679">
          <cell r="S679" t="str">
            <v xml:space="preserve"> - </v>
          </cell>
          <cell r="T679">
            <v>0</v>
          </cell>
        </row>
        <row r="680">
          <cell r="S680" t="str">
            <v xml:space="preserve"> - </v>
          </cell>
          <cell r="T680">
            <v>0</v>
          </cell>
        </row>
        <row r="681">
          <cell r="S681" t="str">
            <v xml:space="preserve"> - </v>
          </cell>
          <cell r="T681">
            <v>0</v>
          </cell>
        </row>
        <row r="682">
          <cell r="S682" t="str">
            <v xml:space="preserve"> - </v>
          </cell>
          <cell r="T682">
            <v>0</v>
          </cell>
        </row>
        <row r="683">
          <cell r="S683" t="str">
            <v xml:space="preserve"> - </v>
          </cell>
          <cell r="T683">
            <v>0</v>
          </cell>
        </row>
        <row r="684">
          <cell r="S684" t="str">
            <v xml:space="preserve"> - </v>
          </cell>
          <cell r="T684">
            <v>0</v>
          </cell>
        </row>
        <row r="685">
          <cell r="S685" t="str">
            <v xml:space="preserve"> - </v>
          </cell>
          <cell r="T685">
            <v>0</v>
          </cell>
        </row>
        <row r="686">
          <cell r="S686" t="str">
            <v xml:space="preserve"> - </v>
          </cell>
          <cell r="T686">
            <v>0</v>
          </cell>
        </row>
        <row r="687">
          <cell r="S687" t="str">
            <v xml:space="preserve"> - </v>
          </cell>
          <cell r="T687">
            <v>0</v>
          </cell>
        </row>
        <row r="688">
          <cell r="S688" t="str">
            <v xml:space="preserve"> - </v>
          </cell>
          <cell r="T688">
            <v>0</v>
          </cell>
        </row>
        <row r="689">
          <cell r="S689" t="str">
            <v xml:space="preserve"> - </v>
          </cell>
          <cell r="T689">
            <v>0</v>
          </cell>
        </row>
        <row r="690">
          <cell r="S690" t="str">
            <v xml:space="preserve"> - </v>
          </cell>
          <cell r="T690">
            <v>0</v>
          </cell>
        </row>
        <row r="691">
          <cell r="S691" t="str">
            <v xml:space="preserve"> - </v>
          </cell>
          <cell r="T691">
            <v>0</v>
          </cell>
        </row>
        <row r="692">
          <cell r="S692" t="str">
            <v xml:space="preserve"> - </v>
          </cell>
          <cell r="T692">
            <v>0</v>
          </cell>
        </row>
        <row r="693">
          <cell r="S693" t="str">
            <v xml:space="preserve"> - </v>
          </cell>
          <cell r="T693">
            <v>0</v>
          </cell>
        </row>
        <row r="694">
          <cell r="S694" t="str">
            <v xml:space="preserve"> - </v>
          </cell>
          <cell r="T694">
            <v>0</v>
          </cell>
        </row>
        <row r="695">
          <cell r="S695" t="str">
            <v xml:space="preserve"> - </v>
          </cell>
          <cell r="T695">
            <v>0</v>
          </cell>
        </row>
        <row r="696">
          <cell r="S696" t="str">
            <v xml:space="preserve"> - </v>
          </cell>
          <cell r="T696">
            <v>0</v>
          </cell>
        </row>
        <row r="697">
          <cell r="S697" t="str">
            <v xml:space="preserve"> - </v>
          </cell>
          <cell r="T697">
            <v>0</v>
          </cell>
        </row>
        <row r="698">
          <cell r="S698" t="str">
            <v xml:space="preserve"> - </v>
          </cell>
          <cell r="T698">
            <v>0</v>
          </cell>
        </row>
        <row r="699">
          <cell r="S699" t="str">
            <v xml:space="preserve"> - </v>
          </cell>
          <cell r="T699">
            <v>0</v>
          </cell>
        </row>
        <row r="700">
          <cell r="S700" t="str">
            <v xml:space="preserve"> - </v>
          </cell>
          <cell r="T700">
            <v>0</v>
          </cell>
        </row>
        <row r="701">
          <cell r="S701" t="str">
            <v xml:space="preserve"> - </v>
          </cell>
          <cell r="T701">
            <v>0</v>
          </cell>
        </row>
        <row r="702">
          <cell r="S702" t="str">
            <v xml:space="preserve"> - </v>
          </cell>
          <cell r="T702">
            <v>0</v>
          </cell>
        </row>
        <row r="703">
          <cell r="S703" t="str">
            <v xml:space="preserve"> - </v>
          </cell>
          <cell r="T703">
            <v>0</v>
          </cell>
        </row>
        <row r="704">
          <cell r="S704" t="str">
            <v xml:space="preserve"> - </v>
          </cell>
          <cell r="T704">
            <v>0</v>
          </cell>
        </row>
        <row r="705">
          <cell r="S705" t="str">
            <v xml:space="preserve"> - </v>
          </cell>
          <cell r="T705">
            <v>0</v>
          </cell>
        </row>
        <row r="706">
          <cell r="S706" t="str">
            <v xml:space="preserve"> - </v>
          </cell>
          <cell r="T706">
            <v>0</v>
          </cell>
        </row>
        <row r="707">
          <cell r="S707" t="str">
            <v xml:space="preserve"> - </v>
          </cell>
          <cell r="T707">
            <v>0</v>
          </cell>
        </row>
        <row r="708">
          <cell r="S708" t="str">
            <v xml:space="preserve"> - </v>
          </cell>
          <cell r="T708">
            <v>0</v>
          </cell>
        </row>
        <row r="709">
          <cell r="S709" t="str">
            <v xml:space="preserve"> - </v>
          </cell>
          <cell r="T709">
            <v>0</v>
          </cell>
        </row>
        <row r="710">
          <cell r="S710" t="str">
            <v xml:space="preserve"> - </v>
          </cell>
          <cell r="T710">
            <v>0</v>
          </cell>
        </row>
        <row r="711">
          <cell r="S711" t="str">
            <v xml:space="preserve"> - </v>
          </cell>
          <cell r="T711">
            <v>0</v>
          </cell>
        </row>
        <row r="712">
          <cell r="S712" t="str">
            <v xml:space="preserve"> - </v>
          </cell>
          <cell r="T712">
            <v>0</v>
          </cell>
        </row>
        <row r="713">
          <cell r="S713" t="str">
            <v xml:space="preserve"> - </v>
          </cell>
          <cell r="T713">
            <v>0</v>
          </cell>
        </row>
        <row r="714">
          <cell r="S714" t="str">
            <v xml:space="preserve"> - </v>
          </cell>
          <cell r="T714">
            <v>0</v>
          </cell>
        </row>
        <row r="715">
          <cell r="S715" t="str">
            <v xml:space="preserve"> - </v>
          </cell>
          <cell r="T715">
            <v>0</v>
          </cell>
        </row>
        <row r="716">
          <cell r="S716" t="str">
            <v xml:space="preserve"> - </v>
          </cell>
          <cell r="T716">
            <v>0</v>
          </cell>
        </row>
        <row r="717">
          <cell r="S717" t="str">
            <v xml:space="preserve"> - </v>
          </cell>
          <cell r="T717">
            <v>0</v>
          </cell>
        </row>
        <row r="718">
          <cell r="S718" t="str">
            <v xml:space="preserve"> - </v>
          </cell>
          <cell r="T718">
            <v>0</v>
          </cell>
        </row>
        <row r="719">
          <cell r="S719" t="str">
            <v xml:space="preserve"> - </v>
          </cell>
          <cell r="T719">
            <v>0</v>
          </cell>
        </row>
        <row r="720">
          <cell r="S720" t="str">
            <v xml:space="preserve"> - </v>
          </cell>
          <cell r="T720">
            <v>0</v>
          </cell>
        </row>
        <row r="721">
          <cell r="S721" t="str">
            <v xml:space="preserve"> - </v>
          </cell>
          <cell r="T721">
            <v>0</v>
          </cell>
        </row>
        <row r="722">
          <cell r="S722" t="str">
            <v xml:space="preserve"> - </v>
          </cell>
          <cell r="T722">
            <v>0</v>
          </cell>
        </row>
        <row r="723">
          <cell r="S723" t="str">
            <v xml:space="preserve"> - </v>
          </cell>
          <cell r="T723">
            <v>0</v>
          </cell>
        </row>
        <row r="724">
          <cell r="S724" t="str">
            <v xml:space="preserve"> - </v>
          </cell>
          <cell r="T724">
            <v>0</v>
          </cell>
        </row>
        <row r="725">
          <cell r="S725" t="str">
            <v xml:space="preserve"> - </v>
          </cell>
          <cell r="T725">
            <v>0</v>
          </cell>
        </row>
        <row r="726">
          <cell r="S726" t="str">
            <v xml:space="preserve"> - </v>
          </cell>
          <cell r="T726">
            <v>0</v>
          </cell>
        </row>
        <row r="727">
          <cell r="S727" t="str">
            <v xml:space="preserve"> - </v>
          </cell>
          <cell r="T727">
            <v>0</v>
          </cell>
        </row>
        <row r="728">
          <cell r="S728" t="str">
            <v xml:space="preserve"> - </v>
          </cell>
          <cell r="T728">
            <v>0</v>
          </cell>
        </row>
        <row r="729">
          <cell r="S729" t="str">
            <v xml:space="preserve"> - </v>
          </cell>
          <cell r="T729">
            <v>0</v>
          </cell>
        </row>
        <row r="730">
          <cell r="S730" t="str">
            <v xml:space="preserve"> - </v>
          </cell>
          <cell r="T730">
            <v>0</v>
          </cell>
        </row>
        <row r="731">
          <cell r="S731" t="str">
            <v xml:space="preserve"> - </v>
          </cell>
          <cell r="T731">
            <v>0</v>
          </cell>
        </row>
        <row r="732">
          <cell r="S732" t="str">
            <v xml:space="preserve"> - </v>
          </cell>
          <cell r="T732">
            <v>0</v>
          </cell>
        </row>
        <row r="733">
          <cell r="S733" t="str">
            <v xml:space="preserve"> - </v>
          </cell>
          <cell r="T733">
            <v>0</v>
          </cell>
        </row>
        <row r="734">
          <cell r="S734" t="str">
            <v xml:space="preserve"> - </v>
          </cell>
          <cell r="T734">
            <v>0</v>
          </cell>
        </row>
        <row r="735">
          <cell r="S735" t="str">
            <v xml:space="preserve"> - </v>
          </cell>
          <cell r="T735">
            <v>0</v>
          </cell>
        </row>
        <row r="736">
          <cell r="S736" t="str">
            <v xml:space="preserve"> - </v>
          </cell>
          <cell r="T736">
            <v>0</v>
          </cell>
        </row>
        <row r="737">
          <cell r="S737" t="str">
            <v xml:space="preserve"> - </v>
          </cell>
          <cell r="T737">
            <v>0</v>
          </cell>
        </row>
        <row r="738">
          <cell r="S738" t="str">
            <v xml:space="preserve"> - </v>
          </cell>
          <cell r="T738">
            <v>0</v>
          </cell>
        </row>
        <row r="739">
          <cell r="S739" t="str">
            <v xml:space="preserve"> - </v>
          </cell>
          <cell r="T739">
            <v>0</v>
          </cell>
        </row>
        <row r="740">
          <cell r="S740" t="str">
            <v xml:space="preserve"> - </v>
          </cell>
          <cell r="T740">
            <v>0</v>
          </cell>
        </row>
        <row r="741">
          <cell r="S741" t="str">
            <v xml:space="preserve"> - </v>
          </cell>
          <cell r="T741">
            <v>0</v>
          </cell>
        </row>
        <row r="742">
          <cell r="S742" t="str">
            <v xml:space="preserve"> - </v>
          </cell>
          <cell r="T742">
            <v>0</v>
          </cell>
        </row>
        <row r="743">
          <cell r="S743" t="str">
            <v xml:space="preserve"> - </v>
          </cell>
          <cell r="T743">
            <v>0</v>
          </cell>
        </row>
        <row r="744">
          <cell r="S744" t="str">
            <v xml:space="preserve"> - </v>
          </cell>
          <cell r="T744">
            <v>0</v>
          </cell>
        </row>
        <row r="745">
          <cell r="S745" t="str">
            <v xml:space="preserve"> - </v>
          </cell>
          <cell r="T745">
            <v>0</v>
          </cell>
        </row>
        <row r="746">
          <cell r="S746" t="str">
            <v xml:space="preserve"> - </v>
          </cell>
          <cell r="T746">
            <v>0</v>
          </cell>
        </row>
        <row r="747">
          <cell r="S747" t="str">
            <v xml:space="preserve"> - </v>
          </cell>
          <cell r="T747">
            <v>0</v>
          </cell>
        </row>
        <row r="748">
          <cell r="S748" t="str">
            <v xml:space="preserve"> - </v>
          </cell>
          <cell r="T748">
            <v>0</v>
          </cell>
        </row>
        <row r="749">
          <cell r="S749" t="str">
            <v xml:space="preserve"> - </v>
          </cell>
          <cell r="T749">
            <v>0</v>
          </cell>
        </row>
        <row r="750">
          <cell r="S750" t="str">
            <v xml:space="preserve"> - </v>
          </cell>
          <cell r="T750">
            <v>0</v>
          </cell>
        </row>
        <row r="751">
          <cell r="S751" t="str">
            <v xml:space="preserve"> - </v>
          </cell>
          <cell r="T751">
            <v>0</v>
          </cell>
        </row>
        <row r="752">
          <cell r="S752" t="str">
            <v xml:space="preserve"> - </v>
          </cell>
          <cell r="T752">
            <v>0</v>
          </cell>
        </row>
        <row r="753">
          <cell r="S753" t="str">
            <v xml:space="preserve"> - </v>
          </cell>
          <cell r="T753">
            <v>0</v>
          </cell>
        </row>
        <row r="754">
          <cell r="S754" t="str">
            <v xml:space="preserve"> - </v>
          </cell>
          <cell r="T754">
            <v>0</v>
          </cell>
        </row>
        <row r="755">
          <cell r="S755" t="str">
            <v xml:space="preserve"> - </v>
          </cell>
          <cell r="T755">
            <v>0</v>
          </cell>
        </row>
        <row r="756">
          <cell r="S756" t="str">
            <v xml:space="preserve"> - </v>
          </cell>
          <cell r="T756">
            <v>0</v>
          </cell>
        </row>
        <row r="757">
          <cell r="S757" t="str">
            <v xml:space="preserve"> - </v>
          </cell>
          <cell r="T757">
            <v>0</v>
          </cell>
        </row>
        <row r="758">
          <cell r="S758" t="str">
            <v xml:space="preserve"> - </v>
          </cell>
          <cell r="T758">
            <v>0</v>
          </cell>
        </row>
        <row r="759">
          <cell r="S759" t="str">
            <v xml:space="preserve"> - </v>
          </cell>
          <cell r="T759">
            <v>0</v>
          </cell>
        </row>
        <row r="760">
          <cell r="S760" t="str">
            <v xml:space="preserve"> - </v>
          </cell>
          <cell r="T760">
            <v>0</v>
          </cell>
        </row>
        <row r="761">
          <cell r="S761" t="str">
            <v xml:space="preserve"> - </v>
          </cell>
          <cell r="T761">
            <v>0</v>
          </cell>
        </row>
        <row r="762">
          <cell r="S762" t="str">
            <v xml:space="preserve"> - </v>
          </cell>
          <cell r="T762">
            <v>0</v>
          </cell>
        </row>
        <row r="763">
          <cell r="S763" t="str">
            <v xml:space="preserve"> - </v>
          </cell>
          <cell r="T763">
            <v>0</v>
          </cell>
        </row>
        <row r="764">
          <cell r="S764" t="str">
            <v xml:space="preserve"> - </v>
          </cell>
          <cell r="T764">
            <v>0</v>
          </cell>
        </row>
        <row r="765">
          <cell r="S765" t="str">
            <v xml:space="preserve"> - </v>
          </cell>
          <cell r="T765">
            <v>0</v>
          </cell>
        </row>
        <row r="766">
          <cell r="S766" t="str">
            <v xml:space="preserve"> - </v>
          </cell>
          <cell r="T766">
            <v>0</v>
          </cell>
        </row>
        <row r="767">
          <cell r="S767" t="str">
            <v xml:space="preserve"> - </v>
          </cell>
          <cell r="T767">
            <v>0</v>
          </cell>
        </row>
        <row r="768">
          <cell r="S768" t="str">
            <v xml:space="preserve"> - </v>
          </cell>
          <cell r="T768">
            <v>0</v>
          </cell>
        </row>
        <row r="769">
          <cell r="S769" t="str">
            <v xml:space="preserve"> - </v>
          </cell>
          <cell r="T769">
            <v>0</v>
          </cell>
        </row>
        <row r="770">
          <cell r="S770" t="str">
            <v xml:space="preserve"> - </v>
          </cell>
          <cell r="T770">
            <v>0</v>
          </cell>
        </row>
        <row r="771">
          <cell r="S771" t="str">
            <v xml:space="preserve"> - </v>
          </cell>
          <cell r="T771">
            <v>0</v>
          </cell>
        </row>
        <row r="772">
          <cell r="S772" t="str">
            <v xml:space="preserve"> - </v>
          </cell>
          <cell r="T772">
            <v>0</v>
          </cell>
        </row>
        <row r="773">
          <cell r="S773" t="str">
            <v xml:space="preserve"> - </v>
          </cell>
          <cell r="T773">
            <v>0</v>
          </cell>
        </row>
        <row r="774">
          <cell r="S774" t="str">
            <v xml:space="preserve"> - </v>
          </cell>
          <cell r="T774">
            <v>0</v>
          </cell>
        </row>
        <row r="775">
          <cell r="S775" t="str">
            <v xml:space="preserve"> - </v>
          </cell>
          <cell r="T775">
            <v>0</v>
          </cell>
        </row>
        <row r="776">
          <cell r="S776" t="str">
            <v xml:space="preserve"> - </v>
          </cell>
          <cell r="T776">
            <v>0</v>
          </cell>
        </row>
        <row r="777">
          <cell r="S777" t="str">
            <v xml:space="preserve"> - </v>
          </cell>
          <cell r="T777">
            <v>0</v>
          </cell>
        </row>
        <row r="778">
          <cell r="S778" t="str">
            <v xml:space="preserve"> - </v>
          </cell>
          <cell r="T778">
            <v>0</v>
          </cell>
        </row>
        <row r="779">
          <cell r="S779" t="str">
            <v xml:space="preserve"> - </v>
          </cell>
          <cell r="T779">
            <v>0</v>
          </cell>
        </row>
        <row r="780">
          <cell r="S780" t="str">
            <v xml:space="preserve"> - </v>
          </cell>
          <cell r="T780">
            <v>0</v>
          </cell>
        </row>
        <row r="781">
          <cell r="S781" t="str">
            <v xml:space="preserve"> - </v>
          </cell>
          <cell r="T781">
            <v>0</v>
          </cell>
        </row>
        <row r="782">
          <cell r="S782" t="str">
            <v xml:space="preserve"> - </v>
          </cell>
          <cell r="T782">
            <v>0</v>
          </cell>
        </row>
        <row r="783">
          <cell r="S783" t="str">
            <v xml:space="preserve"> - </v>
          </cell>
          <cell r="T783">
            <v>0</v>
          </cell>
        </row>
        <row r="784">
          <cell r="S784" t="str">
            <v xml:space="preserve"> - </v>
          </cell>
          <cell r="T784">
            <v>0</v>
          </cell>
        </row>
        <row r="785">
          <cell r="S785" t="str">
            <v xml:space="preserve"> - </v>
          </cell>
          <cell r="T785">
            <v>0</v>
          </cell>
        </row>
        <row r="786">
          <cell r="S786" t="str">
            <v xml:space="preserve"> - </v>
          </cell>
          <cell r="T786">
            <v>0</v>
          </cell>
        </row>
        <row r="787">
          <cell r="S787" t="str">
            <v xml:space="preserve"> - </v>
          </cell>
          <cell r="T787">
            <v>0</v>
          </cell>
        </row>
        <row r="788">
          <cell r="S788" t="str">
            <v xml:space="preserve"> - </v>
          </cell>
          <cell r="T788">
            <v>0</v>
          </cell>
        </row>
        <row r="789">
          <cell r="S789" t="str">
            <v xml:space="preserve"> - </v>
          </cell>
          <cell r="T789">
            <v>0</v>
          </cell>
        </row>
        <row r="790">
          <cell r="S790" t="str">
            <v xml:space="preserve"> - </v>
          </cell>
          <cell r="T790">
            <v>0</v>
          </cell>
        </row>
        <row r="791">
          <cell r="S791" t="str">
            <v xml:space="preserve"> - </v>
          </cell>
          <cell r="T791">
            <v>0</v>
          </cell>
        </row>
        <row r="792">
          <cell r="S792" t="str">
            <v xml:space="preserve"> - </v>
          </cell>
          <cell r="T792">
            <v>0</v>
          </cell>
        </row>
        <row r="793">
          <cell r="S793" t="str">
            <v xml:space="preserve"> - </v>
          </cell>
          <cell r="T793">
            <v>0</v>
          </cell>
        </row>
        <row r="794">
          <cell r="S794" t="str">
            <v xml:space="preserve"> - </v>
          </cell>
          <cell r="T794">
            <v>0</v>
          </cell>
        </row>
        <row r="795">
          <cell r="S795" t="str">
            <v xml:space="preserve"> - </v>
          </cell>
          <cell r="T795">
            <v>0</v>
          </cell>
        </row>
        <row r="796">
          <cell r="S796" t="str">
            <v xml:space="preserve"> - </v>
          </cell>
          <cell r="T796">
            <v>0</v>
          </cell>
        </row>
        <row r="797">
          <cell r="S797" t="str">
            <v xml:space="preserve"> - </v>
          </cell>
          <cell r="T797">
            <v>0</v>
          </cell>
        </row>
        <row r="798">
          <cell r="S798" t="str">
            <v xml:space="preserve"> - </v>
          </cell>
          <cell r="T798">
            <v>0</v>
          </cell>
        </row>
        <row r="799">
          <cell r="S799" t="str">
            <v xml:space="preserve"> - </v>
          </cell>
          <cell r="T799">
            <v>0</v>
          </cell>
        </row>
        <row r="800">
          <cell r="S800" t="str">
            <v xml:space="preserve"> - </v>
          </cell>
          <cell r="T800">
            <v>0</v>
          </cell>
        </row>
        <row r="801">
          <cell r="S801" t="str">
            <v xml:space="preserve"> - </v>
          </cell>
          <cell r="T801">
            <v>0</v>
          </cell>
        </row>
        <row r="802">
          <cell r="S802" t="str">
            <v xml:space="preserve"> - </v>
          </cell>
          <cell r="T802">
            <v>0</v>
          </cell>
        </row>
        <row r="803">
          <cell r="S803" t="str">
            <v xml:space="preserve"> - </v>
          </cell>
          <cell r="T803">
            <v>0</v>
          </cell>
        </row>
        <row r="804">
          <cell r="S804" t="str">
            <v xml:space="preserve"> - </v>
          </cell>
          <cell r="T804">
            <v>0</v>
          </cell>
        </row>
        <row r="805">
          <cell r="S805" t="str">
            <v xml:space="preserve"> - </v>
          </cell>
          <cell r="T805">
            <v>0</v>
          </cell>
        </row>
        <row r="806">
          <cell r="S806" t="str">
            <v xml:space="preserve"> - </v>
          </cell>
          <cell r="T806">
            <v>0</v>
          </cell>
        </row>
        <row r="807">
          <cell r="S807" t="str">
            <v xml:space="preserve"> - </v>
          </cell>
          <cell r="T807">
            <v>0</v>
          </cell>
        </row>
        <row r="808">
          <cell r="S808" t="str">
            <v xml:space="preserve"> - </v>
          </cell>
          <cell r="T808">
            <v>0</v>
          </cell>
        </row>
        <row r="809">
          <cell r="S809" t="str">
            <v xml:space="preserve"> - </v>
          </cell>
          <cell r="T809">
            <v>0</v>
          </cell>
        </row>
        <row r="810">
          <cell r="S810" t="str">
            <v xml:space="preserve"> - </v>
          </cell>
          <cell r="T810">
            <v>0</v>
          </cell>
        </row>
        <row r="811">
          <cell r="S811" t="str">
            <v xml:space="preserve"> - </v>
          </cell>
          <cell r="T811">
            <v>0</v>
          </cell>
        </row>
        <row r="812">
          <cell r="S812" t="str">
            <v xml:space="preserve"> - </v>
          </cell>
          <cell r="T812">
            <v>0</v>
          </cell>
        </row>
        <row r="813">
          <cell r="S813" t="str">
            <v xml:space="preserve"> - </v>
          </cell>
          <cell r="T813">
            <v>0</v>
          </cell>
        </row>
        <row r="814">
          <cell r="S814" t="str">
            <v xml:space="preserve"> - </v>
          </cell>
          <cell r="T814">
            <v>0</v>
          </cell>
        </row>
        <row r="815">
          <cell r="S815" t="str">
            <v xml:space="preserve"> - </v>
          </cell>
          <cell r="T815">
            <v>0</v>
          </cell>
        </row>
        <row r="816">
          <cell r="S816" t="str">
            <v xml:space="preserve"> - </v>
          </cell>
          <cell r="T816">
            <v>0</v>
          </cell>
        </row>
        <row r="817">
          <cell r="S817" t="str">
            <v xml:space="preserve"> - </v>
          </cell>
          <cell r="T817">
            <v>0</v>
          </cell>
        </row>
        <row r="818">
          <cell r="S818" t="str">
            <v xml:space="preserve"> - </v>
          </cell>
          <cell r="T818">
            <v>0</v>
          </cell>
        </row>
        <row r="819">
          <cell r="S819" t="str">
            <v xml:space="preserve"> - </v>
          </cell>
          <cell r="T819">
            <v>0</v>
          </cell>
        </row>
        <row r="820">
          <cell r="S820" t="str">
            <v xml:space="preserve"> - </v>
          </cell>
          <cell r="T820">
            <v>0</v>
          </cell>
        </row>
        <row r="821">
          <cell r="S821" t="str">
            <v xml:space="preserve"> - </v>
          </cell>
          <cell r="T821">
            <v>0</v>
          </cell>
        </row>
        <row r="822">
          <cell r="S822" t="str">
            <v xml:space="preserve"> - </v>
          </cell>
          <cell r="T822">
            <v>0</v>
          </cell>
        </row>
        <row r="823">
          <cell r="S823" t="str">
            <v xml:space="preserve"> - </v>
          </cell>
          <cell r="T823">
            <v>0</v>
          </cell>
        </row>
        <row r="824">
          <cell r="S824" t="str">
            <v xml:space="preserve"> - </v>
          </cell>
          <cell r="T824">
            <v>0</v>
          </cell>
        </row>
        <row r="825">
          <cell r="S825" t="str">
            <v xml:space="preserve"> - </v>
          </cell>
          <cell r="T825">
            <v>0</v>
          </cell>
        </row>
        <row r="826">
          <cell r="S826" t="str">
            <v xml:space="preserve"> - </v>
          </cell>
          <cell r="T826">
            <v>0</v>
          </cell>
        </row>
        <row r="827">
          <cell r="S827" t="str">
            <v xml:space="preserve"> - </v>
          </cell>
          <cell r="T827">
            <v>0</v>
          </cell>
        </row>
        <row r="828">
          <cell r="S828" t="str">
            <v xml:space="preserve"> - </v>
          </cell>
          <cell r="T828">
            <v>0</v>
          </cell>
        </row>
        <row r="829">
          <cell r="S829" t="str">
            <v xml:space="preserve"> - </v>
          </cell>
          <cell r="T829">
            <v>0</v>
          </cell>
        </row>
        <row r="830">
          <cell r="S830" t="str">
            <v xml:space="preserve"> - </v>
          </cell>
          <cell r="T830">
            <v>0</v>
          </cell>
        </row>
        <row r="831">
          <cell r="S831" t="str">
            <v xml:space="preserve"> - </v>
          </cell>
          <cell r="T831">
            <v>0</v>
          </cell>
        </row>
        <row r="832">
          <cell r="S832" t="str">
            <v xml:space="preserve"> - </v>
          </cell>
          <cell r="T832">
            <v>0</v>
          </cell>
        </row>
        <row r="833">
          <cell r="S833" t="str">
            <v xml:space="preserve"> - </v>
          </cell>
          <cell r="T833">
            <v>0</v>
          </cell>
        </row>
        <row r="834">
          <cell r="S834" t="str">
            <v xml:space="preserve"> - </v>
          </cell>
          <cell r="T834">
            <v>0</v>
          </cell>
        </row>
        <row r="835">
          <cell r="S835" t="str">
            <v xml:space="preserve"> - </v>
          </cell>
          <cell r="T835">
            <v>0</v>
          </cell>
        </row>
        <row r="836">
          <cell r="S836" t="str">
            <v xml:space="preserve"> - </v>
          </cell>
          <cell r="T836">
            <v>0</v>
          </cell>
        </row>
        <row r="837">
          <cell r="S837" t="str">
            <v xml:space="preserve"> - </v>
          </cell>
          <cell r="T837">
            <v>0</v>
          </cell>
        </row>
        <row r="838">
          <cell r="S838" t="str">
            <v xml:space="preserve"> - </v>
          </cell>
          <cell r="T838">
            <v>0</v>
          </cell>
        </row>
        <row r="839">
          <cell r="S839" t="str">
            <v xml:space="preserve"> - </v>
          </cell>
          <cell r="T839">
            <v>0</v>
          </cell>
        </row>
        <row r="840">
          <cell r="S840" t="str">
            <v xml:space="preserve"> - </v>
          </cell>
          <cell r="T840">
            <v>0</v>
          </cell>
        </row>
        <row r="841">
          <cell r="S841" t="str">
            <v xml:space="preserve"> - </v>
          </cell>
          <cell r="T841">
            <v>0</v>
          </cell>
        </row>
        <row r="842">
          <cell r="S842" t="str">
            <v xml:space="preserve"> - </v>
          </cell>
          <cell r="T842">
            <v>0</v>
          </cell>
        </row>
        <row r="843">
          <cell r="S843" t="str">
            <v xml:space="preserve"> - </v>
          </cell>
          <cell r="T843">
            <v>0</v>
          </cell>
        </row>
        <row r="844">
          <cell r="S844" t="str">
            <v xml:space="preserve"> - </v>
          </cell>
          <cell r="T844">
            <v>0</v>
          </cell>
        </row>
        <row r="845">
          <cell r="S845" t="str">
            <v xml:space="preserve"> - </v>
          </cell>
          <cell r="T845">
            <v>0</v>
          </cell>
        </row>
        <row r="846">
          <cell r="S846" t="str">
            <v xml:space="preserve"> - </v>
          </cell>
          <cell r="T846">
            <v>0</v>
          </cell>
        </row>
        <row r="847">
          <cell r="S847" t="str">
            <v xml:space="preserve"> - </v>
          </cell>
          <cell r="T847">
            <v>0</v>
          </cell>
        </row>
        <row r="848">
          <cell r="S848" t="str">
            <v xml:space="preserve"> - </v>
          </cell>
          <cell r="T848">
            <v>0</v>
          </cell>
        </row>
        <row r="849">
          <cell r="S849" t="str">
            <v xml:space="preserve"> - </v>
          </cell>
          <cell r="T849">
            <v>0</v>
          </cell>
        </row>
        <row r="850">
          <cell r="S850" t="str">
            <v xml:space="preserve"> - </v>
          </cell>
          <cell r="T850">
            <v>0</v>
          </cell>
        </row>
        <row r="851">
          <cell r="S851" t="str">
            <v xml:space="preserve"> - </v>
          </cell>
          <cell r="T851">
            <v>0</v>
          </cell>
        </row>
        <row r="852">
          <cell r="S852" t="str">
            <v xml:space="preserve"> - </v>
          </cell>
          <cell r="T852">
            <v>0</v>
          </cell>
        </row>
        <row r="853">
          <cell r="S853" t="str">
            <v xml:space="preserve"> - </v>
          </cell>
          <cell r="T853">
            <v>0</v>
          </cell>
        </row>
        <row r="854">
          <cell r="S854" t="str">
            <v xml:space="preserve"> - </v>
          </cell>
          <cell r="T854">
            <v>0</v>
          </cell>
        </row>
        <row r="855">
          <cell r="S855" t="str">
            <v xml:space="preserve"> - </v>
          </cell>
          <cell r="T855">
            <v>0</v>
          </cell>
        </row>
        <row r="856">
          <cell r="S856" t="str">
            <v xml:space="preserve"> - </v>
          </cell>
          <cell r="T856">
            <v>0</v>
          </cell>
        </row>
        <row r="857">
          <cell r="S857" t="str">
            <v xml:space="preserve"> - </v>
          </cell>
          <cell r="T857">
            <v>0</v>
          </cell>
        </row>
        <row r="858">
          <cell r="S858" t="str">
            <v xml:space="preserve"> - </v>
          </cell>
          <cell r="T858">
            <v>0</v>
          </cell>
        </row>
        <row r="859">
          <cell r="S859" t="str">
            <v xml:space="preserve"> - </v>
          </cell>
          <cell r="T859">
            <v>0</v>
          </cell>
        </row>
        <row r="860">
          <cell r="S860" t="str">
            <v xml:space="preserve"> - </v>
          </cell>
          <cell r="T860">
            <v>0</v>
          </cell>
        </row>
        <row r="861">
          <cell r="S861" t="str">
            <v xml:space="preserve"> - </v>
          </cell>
          <cell r="T861">
            <v>0</v>
          </cell>
        </row>
        <row r="862">
          <cell r="S862" t="str">
            <v xml:space="preserve"> - </v>
          </cell>
          <cell r="T862">
            <v>0</v>
          </cell>
        </row>
        <row r="863">
          <cell r="S863" t="str">
            <v xml:space="preserve"> - </v>
          </cell>
          <cell r="T863">
            <v>0</v>
          </cell>
        </row>
        <row r="864">
          <cell r="S864" t="str">
            <v xml:space="preserve"> - </v>
          </cell>
          <cell r="T864">
            <v>0</v>
          </cell>
        </row>
        <row r="865">
          <cell r="S865" t="str">
            <v xml:space="preserve"> - </v>
          </cell>
          <cell r="T865">
            <v>0</v>
          </cell>
        </row>
        <row r="866">
          <cell r="S866" t="str">
            <v xml:space="preserve"> - </v>
          </cell>
          <cell r="T866">
            <v>0</v>
          </cell>
        </row>
        <row r="867">
          <cell r="S867" t="str">
            <v xml:space="preserve"> - </v>
          </cell>
          <cell r="T867">
            <v>0</v>
          </cell>
        </row>
        <row r="868">
          <cell r="S868" t="str">
            <v xml:space="preserve"> - </v>
          </cell>
          <cell r="T868">
            <v>0</v>
          </cell>
        </row>
        <row r="869">
          <cell r="S869" t="str">
            <v xml:space="preserve"> - </v>
          </cell>
          <cell r="T869">
            <v>0</v>
          </cell>
        </row>
        <row r="870">
          <cell r="S870" t="str">
            <v xml:space="preserve"> - </v>
          </cell>
          <cell r="T870">
            <v>0</v>
          </cell>
        </row>
        <row r="871">
          <cell r="S871" t="str">
            <v xml:space="preserve"> - </v>
          </cell>
          <cell r="T871">
            <v>0</v>
          </cell>
        </row>
        <row r="872">
          <cell r="S872" t="str">
            <v xml:space="preserve"> - </v>
          </cell>
          <cell r="T872">
            <v>0</v>
          </cell>
        </row>
        <row r="873">
          <cell r="S873" t="str">
            <v xml:space="preserve"> - </v>
          </cell>
          <cell r="T873">
            <v>0</v>
          </cell>
        </row>
        <row r="874">
          <cell r="S874" t="str">
            <v xml:space="preserve"> - </v>
          </cell>
          <cell r="T874">
            <v>0</v>
          </cell>
        </row>
        <row r="875">
          <cell r="S875" t="str">
            <v xml:space="preserve"> - </v>
          </cell>
          <cell r="T875">
            <v>0</v>
          </cell>
        </row>
        <row r="876">
          <cell r="S876" t="str">
            <v xml:space="preserve"> - </v>
          </cell>
          <cell r="T876">
            <v>0</v>
          </cell>
        </row>
        <row r="877">
          <cell r="S877" t="str">
            <v xml:space="preserve"> - </v>
          </cell>
          <cell r="T877">
            <v>0</v>
          </cell>
        </row>
        <row r="878">
          <cell r="S878" t="str">
            <v xml:space="preserve"> - </v>
          </cell>
          <cell r="T878">
            <v>0</v>
          </cell>
        </row>
        <row r="879">
          <cell r="S879" t="str">
            <v xml:space="preserve"> - </v>
          </cell>
          <cell r="T879">
            <v>0</v>
          </cell>
        </row>
        <row r="880">
          <cell r="S880" t="str">
            <v xml:space="preserve"> - </v>
          </cell>
          <cell r="T880">
            <v>0</v>
          </cell>
        </row>
        <row r="881">
          <cell r="S881" t="str">
            <v xml:space="preserve"> - </v>
          </cell>
          <cell r="T881">
            <v>0</v>
          </cell>
        </row>
        <row r="882">
          <cell r="S882" t="str">
            <v xml:space="preserve"> - </v>
          </cell>
          <cell r="T882">
            <v>0</v>
          </cell>
        </row>
        <row r="883">
          <cell r="S883" t="str">
            <v xml:space="preserve"> - </v>
          </cell>
          <cell r="T883">
            <v>0</v>
          </cell>
        </row>
        <row r="884">
          <cell r="S884" t="str">
            <v xml:space="preserve"> - </v>
          </cell>
          <cell r="T884">
            <v>0</v>
          </cell>
        </row>
        <row r="885">
          <cell r="S885" t="str">
            <v xml:space="preserve"> - </v>
          </cell>
          <cell r="T885">
            <v>0</v>
          </cell>
        </row>
        <row r="886">
          <cell r="S886" t="str">
            <v xml:space="preserve"> - </v>
          </cell>
          <cell r="T886">
            <v>0</v>
          </cell>
        </row>
        <row r="887">
          <cell r="S887" t="str">
            <v xml:space="preserve"> - </v>
          </cell>
          <cell r="T887">
            <v>0</v>
          </cell>
        </row>
        <row r="888">
          <cell r="S888" t="str">
            <v xml:space="preserve"> - </v>
          </cell>
          <cell r="T888">
            <v>0</v>
          </cell>
        </row>
        <row r="889">
          <cell r="S889" t="str">
            <v xml:space="preserve"> - </v>
          </cell>
          <cell r="T889">
            <v>0</v>
          </cell>
        </row>
        <row r="890">
          <cell r="S890" t="str">
            <v xml:space="preserve"> - </v>
          </cell>
          <cell r="T890">
            <v>0</v>
          </cell>
        </row>
        <row r="891">
          <cell r="S891" t="str">
            <v xml:space="preserve"> - </v>
          </cell>
          <cell r="T891">
            <v>0</v>
          </cell>
        </row>
        <row r="892">
          <cell r="S892" t="str">
            <v xml:space="preserve"> - </v>
          </cell>
          <cell r="T892">
            <v>0</v>
          </cell>
        </row>
        <row r="893">
          <cell r="S893" t="str">
            <v xml:space="preserve"> - </v>
          </cell>
          <cell r="T893">
            <v>0</v>
          </cell>
        </row>
        <row r="894">
          <cell r="S894" t="str">
            <v xml:space="preserve"> - </v>
          </cell>
          <cell r="T894">
            <v>0</v>
          </cell>
        </row>
        <row r="895">
          <cell r="S895" t="str">
            <v xml:space="preserve"> - </v>
          </cell>
          <cell r="T895">
            <v>0</v>
          </cell>
        </row>
        <row r="896">
          <cell r="S896" t="str">
            <v xml:space="preserve"> - </v>
          </cell>
          <cell r="T896">
            <v>0</v>
          </cell>
        </row>
        <row r="897">
          <cell r="S897" t="str">
            <v xml:space="preserve"> - </v>
          </cell>
          <cell r="T897">
            <v>0</v>
          </cell>
        </row>
        <row r="898">
          <cell r="S898" t="str">
            <v xml:space="preserve"> - </v>
          </cell>
          <cell r="T898">
            <v>0</v>
          </cell>
        </row>
        <row r="899">
          <cell r="S899" t="str">
            <v xml:space="preserve"> - </v>
          </cell>
          <cell r="T899">
            <v>0</v>
          </cell>
        </row>
        <row r="900">
          <cell r="S900" t="str">
            <v xml:space="preserve"> - </v>
          </cell>
          <cell r="T900">
            <v>0</v>
          </cell>
        </row>
        <row r="901">
          <cell r="S901" t="str">
            <v xml:space="preserve"> - </v>
          </cell>
          <cell r="T901">
            <v>0</v>
          </cell>
        </row>
        <row r="902">
          <cell r="S902" t="str">
            <v xml:space="preserve"> - </v>
          </cell>
          <cell r="T902">
            <v>0</v>
          </cell>
        </row>
        <row r="903">
          <cell r="S903" t="str">
            <v xml:space="preserve"> - </v>
          </cell>
          <cell r="T903">
            <v>0</v>
          </cell>
        </row>
        <row r="904">
          <cell r="S904" t="str">
            <v xml:space="preserve"> - </v>
          </cell>
          <cell r="T904">
            <v>0</v>
          </cell>
        </row>
        <row r="905">
          <cell r="S905" t="str">
            <v xml:space="preserve"> - </v>
          </cell>
          <cell r="T905">
            <v>0</v>
          </cell>
        </row>
        <row r="906">
          <cell r="S906" t="str">
            <v xml:space="preserve"> - </v>
          </cell>
          <cell r="T906">
            <v>0</v>
          </cell>
        </row>
        <row r="907">
          <cell r="S907" t="str">
            <v xml:space="preserve"> - </v>
          </cell>
          <cell r="T907">
            <v>0</v>
          </cell>
        </row>
        <row r="908">
          <cell r="S908" t="str">
            <v xml:space="preserve"> - </v>
          </cell>
          <cell r="T908">
            <v>0</v>
          </cell>
        </row>
        <row r="909">
          <cell r="S909" t="str">
            <v xml:space="preserve"> - </v>
          </cell>
          <cell r="T909">
            <v>0</v>
          </cell>
        </row>
        <row r="910">
          <cell r="S910" t="str">
            <v xml:space="preserve"> - </v>
          </cell>
          <cell r="T910">
            <v>0</v>
          </cell>
        </row>
        <row r="911">
          <cell r="S911" t="str">
            <v xml:space="preserve"> - </v>
          </cell>
          <cell r="T911">
            <v>0</v>
          </cell>
        </row>
        <row r="912">
          <cell r="S912" t="str">
            <v xml:space="preserve"> - </v>
          </cell>
          <cell r="T912">
            <v>0</v>
          </cell>
        </row>
        <row r="913">
          <cell r="S913" t="str">
            <v xml:space="preserve"> - </v>
          </cell>
          <cell r="T913">
            <v>0</v>
          </cell>
        </row>
        <row r="914">
          <cell r="S914" t="str">
            <v xml:space="preserve"> - </v>
          </cell>
          <cell r="T914">
            <v>0</v>
          </cell>
        </row>
        <row r="915">
          <cell r="S915" t="str">
            <v xml:space="preserve"> - </v>
          </cell>
          <cell r="T915">
            <v>0</v>
          </cell>
        </row>
        <row r="916">
          <cell r="S916" t="str">
            <v xml:space="preserve"> - </v>
          </cell>
          <cell r="T916">
            <v>0</v>
          </cell>
        </row>
        <row r="917">
          <cell r="S917" t="str">
            <v xml:space="preserve"> - </v>
          </cell>
          <cell r="T917">
            <v>0</v>
          </cell>
        </row>
        <row r="918">
          <cell r="S918" t="str">
            <v xml:space="preserve"> - </v>
          </cell>
          <cell r="T918">
            <v>0</v>
          </cell>
        </row>
        <row r="919">
          <cell r="S919" t="str">
            <v xml:space="preserve"> - </v>
          </cell>
          <cell r="T919">
            <v>0</v>
          </cell>
        </row>
        <row r="920">
          <cell r="S920" t="str">
            <v xml:space="preserve"> - </v>
          </cell>
          <cell r="T920">
            <v>0</v>
          </cell>
        </row>
        <row r="921">
          <cell r="S921" t="str">
            <v xml:space="preserve"> - </v>
          </cell>
          <cell r="T921">
            <v>0</v>
          </cell>
        </row>
        <row r="922">
          <cell r="S922" t="str">
            <v xml:space="preserve"> - </v>
          </cell>
          <cell r="T922">
            <v>0</v>
          </cell>
        </row>
        <row r="923">
          <cell r="S923" t="str">
            <v xml:space="preserve"> - </v>
          </cell>
          <cell r="T923">
            <v>0</v>
          </cell>
        </row>
        <row r="924">
          <cell r="S924" t="str">
            <v xml:space="preserve"> - </v>
          </cell>
          <cell r="T924">
            <v>0</v>
          </cell>
        </row>
        <row r="925">
          <cell r="S925" t="str">
            <v xml:space="preserve"> - </v>
          </cell>
          <cell r="T925">
            <v>0</v>
          </cell>
        </row>
        <row r="926">
          <cell r="S926" t="str">
            <v xml:space="preserve"> - </v>
          </cell>
          <cell r="T926">
            <v>0</v>
          </cell>
        </row>
        <row r="927">
          <cell r="S927" t="str">
            <v xml:space="preserve"> - </v>
          </cell>
          <cell r="T927">
            <v>0</v>
          </cell>
        </row>
        <row r="928">
          <cell r="S928" t="str">
            <v xml:space="preserve"> - </v>
          </cell>
          <cell r="T928">
            <v>0</v>
          </cell>
        </row>
        <row r="929">
          <cell r="S929" t="str">
            <v xml:space="preserve"> - </v>
          </cell>
          <cell r="T929">
            <v>0</v>
          </cell>
        </row>
        <row r="930">
          <cell r="S930" t="str">
            <v xml:space="preserve"> - </v>
          </cell>
          <cell r="T930">
            <v>0</v>
          </cell>
        </row>
        <row r="931">
          <cell r="S931" t="str">
            <v xml:space="preserve"> - </v>
          </cell>
          <cell r="T931">
            <v>0</v>
          </cell>
        </row>
        <row r="932">
          <cell r="S932" t="str">
            <v xml:space="preserve"> - </v>
          </cell>
          <cell r="T932">
            <v>0</v>
          </cell>
        </row>
        <row r="933">
          <cell r="S933" t="str">
            <v xml:space="preserve"> - </v>
          </cell>
          <cell r="T933">
            <v>0</v>
          </cell>
        </row>
        <row r="934">
          <cell r="S934" t="str">
            <v xml:space="preserve"> - </v>
          </cell>
          <cell r="T934">
            <v>0</v>
          </cell>
        </row>
        <row r="935">
          <cell r="S935" t="str">
            <v xml:space="preserve"> - </v>
          </cell>
          <cell r="T935">
            <v>0</v>
          </cell>
        </row>
        <row r="936">
          <cell r="S936" t="str">
            <v xml:space="preserve"> - </v>
          </cell>
          <cell r="T936">
            <v>0</v>
          </cell>
        </row>
        <row r="937">
          <cell r="S937" t="str">
            <v xml:space="preserve"> - </v>
          </cell>
          <cell r="T937">
            <v>0</v>
          </cell>
        </row>
        <row r="938">
          <cell r="S938" t="str">
            <v xml:space="preserve"> - </v>
          </cell>
          <cell r="T938">
            <v>0</v>
          </cell>
        </row>
        <row r="939">
          <cell r="S939" t="str">
            <v xml:space="preserve"> - </v>
          </cell>
          <cell r="T939">
            <v>0</v>
          </cell>
        </row>
        <row r="940">
          <cell r="S940" t="str">
            <v xml:space="preserve"> - </v>
          </cell>
          <cell r="T940">
            <v>0</v>
          </cell>
        </row>
        <row r="941">
          <cell r="S941" t="str">
            <v xml:space="preserve"> - </v>
          </cell>
          <cell r="T941">
            <v>0</v>
          </cell>
        </row>
        <row r="942">
          <cell r="S942" t="str">
            <v xml:space="preserve"> - </v>
          </cell>
          <cell r="T942">
            <v>0</v>
          </cell>
        </row>
        <row r="943">
          <cell r="S943" t="str">
            <v xml:space="preserve"> - </v>
          </cell>
          <cell r="T943">
            <v>0</v>
          </cell>
        </row>
        <row r="944">
          <cell r="S944" t="str">
            <v xml:space="preserve"> - </v>
          </cell>
          <cell r="T944">
            <v>0</v>
          </cell>
        </row>
        <row r="945">
          <cell r="S945" t="str">
            <v xml:space="preserve"> - </v>
          </cell>
          <cell r="T945">
            <v>0</v>
          </cell>
        </row>
        <row r="946">
          <cell r="S946" t="str">
            <v xml:space="preserve"> - </v>
          </cell>
          <cell r="T946">
            <v>0</v>
          </cell>
        </row>
        <row r="947">
          <cell r="S947" t="str">
            <v xml:space="preserve"> - </v>
          </cell>
          <cell r="T947">
            <v>0</v>
          </cell>
        </row>
        <row r="948">
          <cell r="S948" t="str">
            <v xml:space="preserve"> - </v>
          </cell>
          <cell r="T948">
            <v>0</v>
          </cell>
        </row>
        <row r="949">
          <cell r="S949" t="str">
            <v xml:space="preserve"> - </v>
          </cell>
          <cell r="T949">
            <v>0</v>
          </cell>
        </row>
        <row r="950">
          <cell r="S950" t="str">
            <v xml:space="preserve"> - </v>
          </cell>
          <cell r="T950">
            <v>0</v>
          </cell>
        </row>
        <row r="951">
          <cell r="S951" t="str">
            <v xml:space="preserve"> - </v>
          </cell>
          <cell r="T951">
            <v>0</v>
          </cell>
        </row>
        <row r="952">
          <cell r="S952" t="str">
            <v xml:space="preserve"> - </v>
          </cell>
          <cell r="T952">
            <v>0</v>
          </cell>
        </row>
        <row r="953">
          <cell r="S953" t="str">
            <v xml:space="preserve"> - </v>
          </cell>
          <cell r="T953">
            <v>0</v>
          </cell>
        </row>
        <row r="954">
          <cell r="S954" t="str">
            <v xml:space="preserve"> - </v>
          </cell>
          <cell r="T954">
            <v>0</v>
          </cell>
        </row>
        <row r="955">
          <cell r="S955" t="str">
            <v xml:space="preserve"> - </v>
          </cell>
          <cell r="T955">
            <v>0</v>
          </cell>
        </row>
        <row r="956">
          <cell r="S956" t="str">
            <v xml:space="preserve"> - </v>
          </cell>
          <cell r="T956">
            <v>0</v>
          </cell>
        </row>
        <row r="957">
          <cell r="S957" t="str">
            <v xml:space="preserve"> - </v>
          </cell>
          <cell r="T957">
            <v>0</v>
          </cell>
        </row>
        <row r="958">
          <cell r="S958" t="str">
            <v xml:space="preserve"> - </v>
          </cell>
          <cell r="T958">
            <v>0</v>
          </cell>
        </row>
        <row r="959">
          <cell r="S959" t="str">
            <v xml:space="preserve"> - </v>
          </cell>
          <cell r="T959">
            <v>0</v>
          </cell>
        </row>
        <row r="960">
          <cell r="S960" t="str">
            <v xml:space="preserve"> - </v>
          </cell>
          <cell r="T960">
            <v>0</v>
          </cell>
        </row>
        <row r="961">
          <cell r="S961" t="str">
            <v xml:space="preserve"> - </v>
          </cell>
          <cell r="T961">
            <v>0</v>
          </cell>
        </row>
        <row r="962">
          <cell r="S962" t="str">
            <v xml:space="preserve"> - </v>
          </cell>
          <cell r="T962">
            <v>0</v>
          </cell>
        </row>
        <row r="963">
          <cell r="S963" t="str">
            <v xml:space="preserve"> - </v>
          </cell>
          <cell r="T963">
            <v>0</v>
          </cell>
        </row>
        <row r="964">
          <cell r="S964" t="str">
            <v xml:space="preserve"> - </v>
          </cell>
          <cell r="T964">
            <v>0</v>
          </cell>
        </row>
        <row r="965">
          <cell r="S965" t="str">
            <v xml:space="preserve"> - </v>
          </cell>
          <cell r="T965">
            <v>0</v>
          </cell>
        </row>
        <row r="966">
          <cell r="S966" t="str">
            <v xml:space="preserve"> - </v>
          </cell>
          <cell r="T966">
            <v>0</v>
          </cell>
        </row>
        <row r="967">
          <cell r="S967" t="str">
            <v xml:space="preserve"> - </v>
          </cell>
          <cell r="T967">
            <v>0</v>
          </cell>
        </row>
        <row r="968">
          <cell r="S968" t="str">
            <v xml:space="preserve"> - </v>
          </cell>
          <cell r="T968">
            <v>0</v>
          </cell>
        </row>
        <row r="969">
          <cell r="S969" t="str">
            <v xml:space="preserve"> - </v>
          </cell>
          <cell r="T969">
            <v>0</v>
          </cell>
        </row>
        <row r="970">
          <cell r="S970" t="str">
            <v xml:space="preserve"> - </v>
          </cell>
          <cell r="T970">
            <v>0</v>
          </cell>
        </row>
        <row r="971">
          <cell r="S971" t="str">
            <v xml:space="preserve"> - </v>
          </cell>
          <cell r="T971">
            <v>0</v>
          </cell>
        </row>
        <row r="972">
          <cell r="S972" t="str">
            <v xml:space="preserve"> - </v>
          </cell>
          <cell r="T972">
            <v>0</v>
          </cell>
        </row>
        <row r="973">
          <cell r="S973" t="str">
            <v xml:space="preserve"> - </v>
          </cell>
          <cell r="T973">
            <v>0</v>
          </cell>
        </row>
        <row r="974">
          <cell r="S974" t="str">
            <v xml:space="preserve"> - </v>
          </cell>
          <cell r="T974">
            <v>0</v>
          </cell>
        </row>
        <row r="975">
          <cell r="S975" t="str">
            <v xml:space="preserve"> - </v>
          </cell>
          <cell r="T975">
            <v>0</v>
          </cell>
        </row>
        <row r="976">
          <cell r="S976" t="str">
            <v xml:space="preserve"> - </v>
          </cell>
          <cell r="T976">
            <v>0</v>
          </cell>
        </row>
        <row r="977">
          <cell r="S977" t="str">
            <v xml:space="preserve"> - </v>
          </cell>
          <cell r="T977">
            <v>0</v>
          </cell>
        </row>
        <row r="978">
          <cell r="S978" t="str">
            <v xml:space="preserve"> - </v>
          </cell>
          <cell r="T978">
            <v>0</v>
          </cell>
        </row>
        <row r="979">
          <cell r="S979" t="str">
            <v xml:space="preserve"> - </v>
          </cell>
          <cell r="T979">
            <v>0</v>
          </cell>
        </row>
        <row r="980">
          <cell r="S980" t="str">
            <v xml:space="preserve"> - </v>
          </cell>
          <cell r="T980">
            <v>0</v>
          </cell>
        </row>
        <row r="981">
          <cell r="S981" t="str">
            <v xml:space="preserve"> - </v>
          </cell>
          <cell r="T981">
            <v>0</v>
          </cell>
        </row>
        <row r="982">
          <cell r="S982" t="str">
            <v xml:space="preserve"> - </v>
          </cell>
          <cell r="T982">
            <v>0</v>
          </cell>
        </row>
        <row r="983">
          <cell r="S983" t="str">
            <v xml:space="preserve"> - </v>
          </cell>
          <cell r="T983">
            <v>0</v>
          </cell>
        </row>
        <row r="984">
          <cell r="S984" t="str">
            <v xml:space="preserve"> - </v>
          </cell>
          <cell r="T984">
            <v>0</v>
          </cell>
        </row>
        <row r="985">
          <cell r="S985" t="str">
            <v xml:space="preserve"> - </v>
          </cell>
          <cell r="T985">
            <v>0</v>
          </cell>
        </row>
        <row r="986">
          <cell r="S986" t="str">
            <v xml:space="preserve"> - </v>
          </cell>
          <cell r="T986">
            <v>0</v>
          </cell>
        </row>
        <row r="987">
          <cell r="S987" t="str">
            <v xml:space="preserve"> - </v>
          </cell>
          <cell r="T987">
            <v>0</v>
          </cell>
        </row>
        <row r="988">
          <cell r="S988" t="str">
            <v xml:space="preserve"> - </v>
          </cell>
          <cell r="T988">
            <v>0</v>
          </cell>
        </row>
        <row r="989">
          <cell r="S989" t="str">
            <v xml:space="preserve"> - </v>
          </cell>
          <cell r="T989">
            <v>0</v>
          </cell>
        </row>
        <row r="990">
          <cell r="S990" t="str">
            <v xml:space="preserve"> - </v>
          </cell>
          <cell r="T990">
            <v>0</v>
          </cell>
        </row>
        <row r="991">
          <cell r="S991" t="str">
            <v xml:space="preserve"> - </v>
          </cell>
          <cell r="T991">
            <v>0</v>
          </cell>
        </row>
        <row r="992">
          <cell r="S992" t="str">
            <v xml:space="preserve"> - </v>
          </cell>
          <cell r="T992">
            <v>0</v>
          </cell>
        </row>
        <row r="993">
          <cell r="S993" t="str">
            <v xml:space="preserve"> - </v>
          </cell>
          <cell r="T993">
            <v>0</v>
          </cell>
        </row>
        <row r="994">
          <cell r="S994" t="str">
            <v xml:space="preserve"> - </v>
          </cell>
          <cell r="T994">
            <v>0</v>
          </cell>
        </row>
        <row r="995">
          <cell r="S995" t="str">
            <v xml:space="preserve"> - </v>
          </cell>
          <cell r="T995">
            <v>0</v>
          </cell>
        </row>
        <row r="996">
          <cell r="S996" t="str">
            <v xml:space="preserve"> - </v>
          </cell>
          <cell r="T996">
            <v>0</v>
          </cell>
        </row>
        <row r="997">
          <cell r="S997" t="str">
            <v xml:space="preserve"> - </v>
          </cell>
          <cell r="T997">
            <v>0</v>
          </cell>
        </row>
        <row r="998">
          <cell r="S998" t="str">
            <v xml:space="preserve"> - </v>
          </cell>
          <cell r="T998">
            <v>0</v>
          </cell>
        </row>
        <row r="999">
          <cell r="S999" t="str">
            <v xml:space="preserve"> - </v>
          </cell>
          <cell r="T999">
            <v>0</v>
          </cell>
        </row>
        <row r="1000">
          <cell r="S1000" t="str">
            <v xml:space="preserve"> - </v>
          </cell>
          <cell r="T1000">
            <v>0</v>
          </cell>
        </row>
      </sheetData>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utorial"/>
      <sheetName val="WorkPlan2"/>
      <sheetName val="DailyWeeklyPlan"/>
      <sheetName val="WWP Report"/>
      <sheetName val="DDTL"/>
      <sheetName val="793"/>
      <sheetName val="24H"/>
      <sheetName val="24M"/>
      <sheetName val="994"/>
      <sheetName val="D11R"/>
      <sheetName val="D10T"/>
      <sheetName val="854G"/>
      <sheetName val="390DL"/>
      <sheetName val="Overlap"/>
      <sheetName val="UNA793"/>
      <sheetName val="UNA24H"/>
      <sheetName val="UNA24M"/>
      <sheetName val="UNA994"/>
      <sheetName val="UNAD11R"/>
      <sheetName val="UNAD10T"/>
      <sheetName val="UNA854G"/>
      <sheetName val="UNA390DL"/>
      <sheetName val="Pre_GantChart"/>
      <sheetName val="GantChart"/>
      <sheetName val="Judul"/>
    </sheetNames>
    <sheetDataSet>
      <sheetData sheetId="0" refreshError="1"/>
      <sheetData sheetId="1" refreshError="1"/>
      <sheetData sheetId="2" refreshError="1">
        <row r="3">
          <cell r="S3" t="str">
            <v xml:space="preserve">STEquip Plan - </v>
          </cell>
          <cell r="T3" t="str">
            <v>Exp. Down</v>
          </cell>
        </row>
        <row r="4">
          <cell r="S4" t="str">
            <v xml:space="preserve">IPLD007 - </v>
          </cell>
          <cell r="T4">
            <v>134.97899999999998</v>
          </cell>
        </row>
        <row r="5">
          <cell r="S5" t="str">
            <v xml:space="preserve"> - </v>
          </cell>
          <cell r="T5">
            <v>0</v>
          </cell>
        </row>
        <row r="6">
          <cell r="S6" t="str">
            <v xml:space="preserve"> - </v>
          </cell>
          <cell r="T6">
            <v>0</v>
          </cell>
        </row>
        <row r="7">
          <cell r="S7" t="str">
            <v xml:space="preserve"> - </v>
          </cell>
          <cell r="T7">
            <v>0</v>
          </cell>
        </row>
        <row r="8">
          <cell r="S8" t="str">
            <v xml:space="preserve"> - </v>
          </cell>
          <cell r="T8">
            <v>0</v>
          </cell>
        </row>
        <row r="9">
          <cell r="S9" t="str">
            <v xml:space="preserve"> - </v>
          </cell>
          <cell r="T9">
            <v>0</v>
          </cell>
        </row>
        <row r="10">
          <cell r="S10" t="str">
            <v xml:space="preserve"> - </v>
          </cell>
          <cell r="T10">
            <v>0</v>
          </cell>
        </row>
        <row r="11">
          <cell r="S11" t="str">
            <v xml:space="preserve"> - </v>
          </cell>
          <cell r="T11">
            <v>0</v>
          </cell>
        </row>
        <row r="12">
          <cell r="S12" t="str">
            <v xml:space="preserve"> - </v>
          </cell>
          <cell r="T12">
            <v>0</v>
          </cell>
        </row>
        <row r="13">
          <cell r="S13" t="str">
            <v xml:space="preserve"> - </v>
          </cell>
          <cell r="T13">
            <v>0</v>
          </cell>
        </row>
        <row r="14">
          <cell r="S14" t="str">
            <v xml:space="preserve"> - </v>
          </cell>
          <cell r="T14">
            <v>0</v>
          </cell>
        </row>
        <row r="15">
          <cell r="S15" t="str">
            <v xml:space="preserve"> - </v>
          </cell>
          <cell r="T15">
            <v>0</v>
          </cell>
        </row>
        <row r="16">
          <cell r="S16" t="str">
            <v xml:space="preserve"> - </v>
          </cell>
          <cell r="T16">
            <v>0</v>
          </cell>
        </row>
        <row r="17">
          <cell r="S17" t="str">
            <v xml:space="preserve"> - </v>
          </cell>
          <cell r="T17">
            <v>0</v>
          </cell>
        </row>
        <row r="18">
          <cell r="S18" t="str">
            <v xml:space="preserve"> - </v>
          </cell>
          <cell r="T18">
            <v>0</v>
          </cell>
        </row>
        <row r="19">
          <cell r="S19" t="str">
            <v xml:space="preserve"> - </v>
          </cell>
          <cell r="T19">
            <v>0</v>
          </cell>
        </row>
        <row r="20">
          <cell r="S20" t="str">
            <v xml:space="preserve"> - </v>
          </cell>
          <cell r="T20">
            <v>0</v>
          </cell>
        </row>
        <row r="21">
          <cell r="S21" t="str">
            <v xml:space="preserve"> - </v>
          </cell>
          <cell r="T21">
            <v>0</v>
          </cell>
        </row>
        <row r="22">
          <cell r="S22" t="str">
            <v xml:space="preserve"> - </v>
          </cell>
          <cell r="T22">
            <v>0</v>
          </cell>
        </row>
        <row r="23">
          <cell r="S23" t="str">
            <v xml:space="preserve"> - </v>
          </cell>
          <cell r="T23">
            <v>0</v>
          </cell>
        </row>
        <row r="24">
          <cell r="S24" t="str">
            <v xml:space="preserve"> - </v>
          </cell>
          <cell r="T24">
            <v>0</v>
          </cell>
        </row>
        <row r="25">
          <cell r="S25" t="str">
            <v xml:space="preserve"> - </v>
          </cell>
          <cell r="T25">
            <v>0</v>
          </cell>
        </row>
        <row r="26">
          <cell r="S26" t="str">
            <v xml:space="preserve"> - </v>
          </cell>
          <cell r="T26">
            <v>0</v>
          </cell>
        </row>
        <row r="27">
          <cell r="S27" t="str">
            <v xml:space="preserve"> - </v>
          </cell>
          <cell r="T27">
            <v>0</v>
          </cell>
        </row>
        <row r="28">
          <cell r="S28" t="str">
            <v xml:space="preserve"> - </v>
          </cell>
          <cell r="T28">
            <v>0</v>
          </cell>
        </row>
        <row r="29">
          <cell r="S29" t="str">
            <v xml:space="preserve"> - </v>
          </cell>
          <cell r="T29">
            <v>0</v>
          </cell>
        </row>
        <row r="30">
          <cell r="S30" t="str">
            <v xml:space="preserve"> - </v>
          </cell>
          <cell r="T30">
            <v>0</v>
          </cell>
        </row>
        <row r="31">
          <cell r="S31" t="str">
            <v xml:space="preserve"> - </v>
          </cell>
          <cell r="T31">
            <v>0</v>
          </cell>
        </row>
        <row r="32">
          <cell r="S32" t="str">
            <v xml:space="preserve"> - </v>
          </cell>
          <cell r="T32">
            <v>0</v>
          </cell>
        </row>
        <row r="33">
          <cell r="S33" t="str">
            <v xml:space="preserve"> - </v>
          </cell>
          <cell r="T33">
            <v>0</v>
          </cell>
        </row>
        <row r="34">
          <cell r="S34" t="str">
            <v xml:space="preserve"> - </v>
          </cell>
          <cell r="T34">
            <v>0</v>
          </cell>
        </row>
        <row r="35">
          <cell r="S35" t="str">
            <v xml:space="preserve"> - </v>
          </cell>
          <cell r="T35">
            <v>0</v>
          </cell>
        </row>
        <row r="36">
          <cell r="S36" t="str">
            <v xml:space="preserve"> - </v>
          </cell>
          <cell r="T36">
            <v>0</v>
          </cell>
        </row>
        <row r="37">
          <cell r="S37" t="str">
            <v xml:space="preserve">IPDZ014 - </v>
          </cell>
          <cell r="T37">
            <v>27.329000000000001</v>
          </cell>
        </row>
        <row r="38">
          <cell r="S38" t="str">
            <v xml:space="preserve"> - </v>
          </cell>
          <cell r="T38">
            <v>0</v>
          </cell>
        </row>
        <row r="39">
          <cell r="S39" t="str">
            <v xml:space="preserve"> - </v>
          </cell>
          <cell r="T39">
            <v>0</v>
          </cell>
        </row>
        <row r="40">
          <cell r="S40" t="str">
            <v xml:space="preserve">IPHT009 - </v>
          </cell>
          <cell r="T40">
            <v>118.661</v>
          </cell>
        </row>
        <row r="41">
          <cell r="S41" t="str">
            <v xml:space="preserve"> - </v>
          </cell>
          <cell r="T41">
            <v>0</v>
          </cell>
        </row>
        <row r="42">
          <cell r="S42" t="str">
            <v xml:space="preserve"> - </v>
          </cell>
          <cell r="T42">
            <v>0</v>
          </cell>
        </row>
        <row r="43">
          <cell r="S43" t="str">
            <v xml:space="preserve"> - </v>
          </cell>
          <cell r="T43">
            <v>0</v>
          </cell>
        </row>
        <row r="44">
          <cell r="S44" t="str">
            <v xml:space="preserve"> - </v>
          </cell>
          <cell r="T44">
            <v>0</v>
          </cell>
        </row>
        <row r="45">
          <cell r="S45" t="str">
            <v xml:space="preserve"> - </v>
          </cell>
          <cell r="T45">
            <v>0</v>
          </cell>
        </row>
        <row r="46">
          <cell r="S46" t="str">
            <v xml:space="preserve"> - </v>
          </cell>
          <cell r="T46">
            <v>0</v>
          </cell>
        </row>
        <row r="47">
          <cell r="S47" t="str">
            <v xml:space="preserve"> - </v>
          </cell>
          <cell r="T47">
            <v>0</v>
          </cell>
        </row>
        <row r="48">
          <cell r="S48" t="str">
            <v xml:space="preserve"> - </v>
          </cell>
          <cell r="T48">
            <v>0</v>
          </cell>
        </row>
        <row r="49">
          <cell r="S49" t="str">
            <v xml:space="preserve"> - </v>
          </cell>
          <cell r="T49">
            <v>0</v>
          </cell>
        </row>
        <row r="50">
          <cell r="S50" t="str">
            <v xml:space="preserve">IPHT089 - </v>
          </cell>
          <cell r="T50">
            <v>15.329000000000001</v>
          </cell>
        </row>
        <row r="51">
          <cell r="S51" t="str">
            <v xml:space="preserve"> - </v>
          </cell>
          <cell r="T51">
            <v>0</v>
          </cell>
        </row>
        <row r="52">
          <cell r="S52" t="str">
            <v xml:space="preserve"> - </v>
          </cell>
          <cell r="T52">
            <v>0</v>
          </cell>
        </row>
        <row r="53">
          <cell r="S53" t="str">
            <v xml:space="preserve"> - </v>
          </cell>
          <cell r="T53">
            <v>0</v>
          </cell>
        </row>
        <row r="54">
          <cell r="S54" t="str">
            <v xml:space="preserve"> - </v>
          </cell>
          <cell r="T54">
            <v>0</v>
          </cell>
        </row>
        <row r="55">
          <cell r="S55" t="str">
            <v xml:space="preserve"> - </v>
          </cell>
          <cell r="T55">
            <v>0</v>
          </cell>
        </row>
        <row r="56">
          <cell r="S56" t="str">
            <v xml:space="preserve"> - </v>
          </cell>
          <cell r="T56">
            <v>0</v>
          </cell>
        </row>
        <row r="57">
          <cell r="S57" t="str">
            <v xml:space="preserve"> - </v>
          </cell>
          <cell r="T57">
            <v>0</v>
          </cell>
        </row>
        <row r="58">
          <cell r="S58" t="str">
            <v xml:space="preserve"> - </v>
          </cell>
          <cell r="T58">
            <v>0</v>
          </cell>
        </row>
        <row r="59">
          <cell r="S59" t="str">
            <v xml:space="preserve"> - </v>
          </cell>
          <cell r="T59">
            <v>0</v>
          </cell>
        </row>
        <row r="60">
          <cell r="S60" t="str">
            <v xml:space="preserve"> - </v>
          </cell>
          <cell r="T60">
            <v>0</v>
          </cell>
        </row>
        <row r="61">
          <cell r="S61" t="str">
            <v xml:space="preserve"> - </v>
          </cell>
          <cell r="T61">
            <v>0</v>
          </cell>
        </row>
        <row r="62">
          <cell r="S62" t="str">
            <v xml:space="preserve"> - </v>
          </cell>
          <cell r="T62">
            <v>0</v>
          </cell>
        </row>
        <row r="63">
          <cell r="S63" t="str">
            <v xml:space="preserve">IPHT031 - </v>
          </cell>
          <cell r="T63">
            <v>113.34399999999999</v>
          </cell>
        </row>
        <row r="64">
          <cell r="S64" t="str">
            <v xml:space="preserve"> - </v>
          </cell>
          <cell r="T64">
            <v>0</v>
          </cell>
        </row>
        <row r="65">
          <cell r="S65" t="str">
            <v xml:space="preserve"> - </v>
          </cell>
          <cell r="T65">
            <v>0</v>
          </cell>
        </row>
        <row r="66">
          <cell r="S66" t="str">
            <v xml:space="preserve"> - </v>
          </cell>
          <cell r="T66">
            <v>0</v>
          </cell>
        </row>
        <row r="67">
          <cell r="S67" t="str">
            <v xml:space="preserve"> - </v>
          </cell>
          <cell r="T67">
            <v>0</v>
          </cell>
        </row>
        <row r="68">
          <cell r="S68" t="str">
            <v xml:space="preserve"> - </v>
          </cell>
          <cell r="T68">
            <v>0</v>
          </cell>
        </row>
        <row r="69">
          <cell r="S69" t="str">
            <v xml:space="preserve"> - </v>
          </cell>
          <cell r="T69">
            <v>0</v>
          </cell>
        </row>
        <row r="70">
          <cell r="S70" t="str">
            <v xml:space="preserve"> - </v>
          </cell>
          <cell r="T70">
            <v>0</v>
          </cell>
        </row>
        <row r="71">
          <cell r="S71" t="str">
            <v xml:space="preserve"> - </v>
          </cell>
          <cell r="T71">
            <v>0</v>
          </cell>
        </row>
        <row r="72">
          <cell r="S72" t="str">
            <v xml:space="preserve"> - </v>
          </cell>
          <cell r="T72">
            <v>0</v>
          </cell>
        </row>
        <row r="73">
          <cell r="S73" t="str">
            <v xml:space="preserve"> - </v>
          </cell>
          <cell r="T73">
            <v>0</v>
          </cell>
        </row>
        <row r="74">
          <cell r="S74" t="str">
            <v xml:space="preserve"> - </v>
          </cell>
          <cell r="T74">
            <v>0</v>
          </cell>
        </row>
        <row r="75">
          <cell r="S75" t="str">
            <v xml:space="preserve"> - </v>
          </cell>
          <cell r="T75">
            <v>0</v>
          </cell>
        </row>
        <row r="76">
          <cell r="S76" t="str">
            <v xml:space="preserve"> - </v>
          </cell>
          <cell r="T76">
            <v>0</v>
          </cell>
        </row>
        <row r="77">
          <cell r="S77" t="str">
            <v xml:space="preserve"> - </v>
          </cell>
          <cell r="T77">
            <v>0</v>
          </cell>
        </row>
        <row r="78">
          <cell r="S78" t="str">
            <v xml:space="preserve">IPGR012 - </v>
          </cell>
          <cell r="T78">
            <v>19.733000000000001</v>
          </cell>
        </row>
        <row r="79">
          <cell r="S79" t="str">
            <v xml:space="preserve"> - </v>
          </cell>
          <cell r="T79">
            <v>0</v>
          </cell>
        </row>
        <row r="80">
          <cell r="S80" t="str">
            <v xml:space="preserve"> - </v>
          </cell>
          <cell r="T80">
            <v>0</v>
          </cell>
        </row>
        <row r="81">
          <cell r="S81" t="str">
            <v xml:space="preserve"> - </v>
          </cell>
          <cell r="T81">
            <v>0</v>
          </cell>
        </row>
        <row r="82">
          <cell r="S82" t="str">
            <v xml:space="preserve"> - </v>
          </cell>
          <cell r="T82">
            <v>0</v>
          </cell>
        </row>
        <row r="83">
          <cell r="S83" t="str">
            <v xml:space="preserve"> - </v>
          </cell>
          <cell r="T83">
            <v>0</v>
          </cell>
        </row>
        <row r="84">
          <cell r="S84" t="str">
            <v xml:space="preserve"> - </v>
          </cell>
          <cell r="T84">
            <v>0</v>
          </cell>
        </row>
        <row r="85">
          <cell r="S85" t="str">
            <v xml:space="preserve"> - </v>
          </cell>
          <cell r="T85">
            <v>0</v>
          </cell>
        </row>
        <row r="86">
          <cell r="S86" t="str">
            <v xml:space="preserve"> - </v>
          </cell>
          <cell r="T86">
            <v>0</v>
          </cell>
        </row>
        <row r="87">
          <cell r="S87" t="str">
            <v xml:space="preserve"> - </v>
          </cell>
          <cell r="T87">
            <v>0</v>
          </cell>
        </row>
        <row r="88">
          <cell r="S88" t="str">
            <v xml:space="preserve"> - </v>
          </cell>
          <cell r="T88">
            <v>0</v>
          </cell>
        </row>
        <row r="89">
          <cell r="S89" t="str">
            <v xml:space="preserve"> - </v>
          </cell>
          <cell r="T89">
            <v>0</v>
          </cell>
        </row>
        <row r="90">
          <cell r="S90" t="str">
            <v xml:space="preserve"> - </v>
          </cell>
          <cell r="T90">
            <v>0</v>
          </cell>
        </row>
        <row r="91">
          <cell r="S91" t="str">
            <v xml:space="preserve"> - </v>
          </cell>
          <cell r="T91">
            <v>0</v>
          </cell>
        </row>
        <row r="92">
          <cell r="S92" t="str">
            <v xml:space="preserve"> - </v>
          </cell>
          <cell r="T92">
            <v>0</v>
          </cell>
        </row>
        <row r="93">
          <cell r="S93" t="str">
            <v xml:space="preserve">IPHT055 - </v>
          </cell>
          <cell r="T93">
            <v>4.6789999999999994</v>
          </cell>
        </row>
        <row r="94">
          <cell r="S94" t="str">
            <v xml:space="preserve"> - </v>
          </cell>
          <cell r="T94">
            <v>0</v>
          </cell>
        </row>
        <row r="95">
          <cell r="S95" t="str">
            <v xml:space="preserve"> - </v>
          </cell>
          <cell r="T95">
            <v>0</v>
          </cell>
        </row>
        <row r="96">
          <cell r="S96" t="str">
            <v xml:space="preserve"> - </v>
          </cell>
          <cell r="T96">
            <v>0</v>
          </cell>
        </row>
        <row r="97">
          <cell r="S97" t="str">
            <v xml:space="preserve">IPHT029 - </v>
          </cell>
          <cell r="T97">
            <v>22.816999999999997</v>
          </cell>
        </row>
        <row r="98">
          <cell r="S98" t="str">
            <v xml:space="preserve"> - </v>
          </cell>
          <cell r="T98">
            <v>0</v>
          </cell>
        </row>
        <row r="99">
          <cell r="S99" t="str">
            <v xml:space="preserve"> - </v>
          </cell>
          <cell r="T99">
            <v>0</v>
          </cell>
        </row>
        <row r="100">
          <cell r="S100" t="str">
            <v xml:space="preserve"> - </v>
          </cell>
          <cell r="T100">
            <v>0</v>
          </cell>
        </row>
        <row r="101">
          <cell r="S101" t="str">
            <v xml:space="preserve"> - </v>
          </cell>
          <cell r="T101">
            <v>0</v>
          </cell>
        </row>
        <row r="102">
          <cell r="S102" t="str">
            <v xml:space="preserve"> - </v>
          </cell>
          <cell r="T102">
            <v>0</v>
          </cell>
        </row>
        <row r="103">
          <cell r="S103" t="str">
            <v xml:space="preserve"> - </v>
          </cell>
          <cell r="T103">
            <v>0</v>
          </cell>
        </row>
        <row r="104">
          <cell r="S104" t="str">
            <v xml:space="preserve">IPHT048 - </v>
          </cell>
          <cell r="T104">
            <v>3.5619999999999998</v>
          </cell>
        </row>
        <row r="105">
          <cell r="S105" t="str">
            <v xml:space="preserve"> - </v>
          </cell>
          <cell r="T105">
            <v>0</v>
          </cell>
        </row>
        <row r="106">
          <cell r="S106" t="str">
            <v xml:space="preserve"> - </v>
          </cell>
          <cell r="T106">
            <v>0</v>
          </cell>
        </row>
        <row r="107">
          <cell r="S107" t="str">
            <v xml:space="preserve"> - </v>
          </cell>
          <cell r="T107">
            <v>0</v>
          </cell>
        </row>
        <row r="108">
          <cell r="S108" t="str">
            <v xml:space="preserve"> - </v>
          </cell>
          <cell r="T108">
            <v>0</v>
          </cell>
        </row>
        <row r="109">
          <cell r="S109" t="str">
            <v xml:space="preserve"> - </v>
          </cell>
          <cell r="T109">
            <v>0</v>
          </cell>
        </row>
        <row r="110">
          <cell r="S110" t="str">
            <v xml:space="preserve">YTSGR017 - </v>
          </cell>
          <cell r="T110">
            <v>240</v>
          </cell>
        </row>
        <row r="111">
          <cell r="S111" t="str">
            <v xml:space="preserve"> - </v>
          </cell>
          <cell r="T111">
            <v>0</v>
          </cell>
        </row>
        <row r="112">
          <cell r="S112" t="str">
            <v xml:space="preserve"> - </v>
          </cell>
          <cell r="T112">
            <v>0</v>
          </cell>
        </row>
        <row r="113">
          <cell r="S113" t="str">
            <v xml:space="preserve"> - </v>
          </cell>
          <cell r="T113">
            <v>0</v>
          </cell>
        </row>
        <row r="114">
          <cell r="S114" t="str">
            <v xml:space="preserve"> - </v>
          </cell>
          <cell r="T114">
            <v>0</v>
          </cell>
        </row>
        <row r="115">
          <cell r="S115" t="str">
            <v xml:space="preserve"> - </v>
          </cell>
          <cell r="T115">
            <v>0</v>
          </cell>
        </row>
        <row r="116">
          <cell r="S116" t="str">
            <v xml:space="preserve"> - </v>
          </cell>
          <cell r="T116">
            <v>0</v>
          </cell>
        </row>
        <row r="117">
          <cell r="S117" t="str">
            <v xml:space="preserve"> - </v>
          </cell>
          <cell r="T117">
            <v>0</v>
          </cell>
        </row>
        <row r="118">
          <cell r="S118" t="str">
            <v xml:space="preserve"> - </v>
          </cell>
          <cell r="T118">
            <v>0</v>
          </cell>
        </row>
        <row r="119">
          <cell r="S119" t="str">
            <v xml:space="preserve"> - </v>
          </cell>
          <cell r="T119">
            <v>0</v>
          </cell>
        </row>
        <row r="120">
          <cell r="S120" t="str">
            <v xml:space="preserve"> - </v>
          </cell>
          <cell r="T120">
            <v>0</v>
          </cell>
        </row>
        <row r="121">
          <cell r="S121" t="str">
            <v xml:space="preserve"> - </v>
          </cell>
          <cell r="T121">
            <v>0</v>
          </cell>
        </row>
        <row r="122">
          <cell r="S122" t="str">
            <v xml:space="preserve"> - </v>
          </cell>
          <cell r="T122">
            <v>0</v>
          </cell>
        </row>
        <row r="123">
          <cell r="S123" t="str">
            <v xml:space="preserve"> - </v>
          </cell>
          <cell r="T123">
            <v>0</v>
          </cell>
        </row>
        <row r="124">
          <cell r="S124" t="str">
            <v xml:space="preserve"> - </v>
          </cell>
          <cell r="T124">
            <v>0</v>
          </cell>
        </row>
        <row r="125">
          <cell r="S125" t="str">
            <v xml:space="preserve"> - </v>
          </cell>
          <cell r="T125">
            <v>0</v>
          </cell>
        </row>
        <row r="126">
          <cell r="S126" t="str">
            <v xml:space="preserve"> - </v>
          </cell>
          <cell r="T126">
            <v>0</v>
          </cell>
        </row>
        <row r="127">
          <cell r="S127" t="str">
            <v xml:space="preserve"> - </v>
          </cell>
          <cell r="T127">
            <v>0</v>
          </cell>
        </row>
        <row r="128">
          <cell r="S128" t="str">
            <v xml:space="preserve"> - </v>
          </cell>
          <cell r="T128">
            <v>0</v>
          </cell>
        </row>
        <row r="129">
          <cell r="S129" t="str">
            <v xml:space="preserve"> - </v>
          </cell>
          <cell r="T129">
            <v>0</v>
          </cell>
        </row>
        <row r="130">
          <cell r="S130" t="str">
            <v xml:space="preserve"> - </v>
          </cell>
          <cell r="T130">
            <v>0</v>
          </cell>
        </row>
        <row r="131">
          <cell r="S131" t="str">
            <v xml:space="preserve"> - </v>
          </cell>
          <cell r="T131">
            <v>0</v>
          </cell>
        </row>
        <row r="132">
          <cell r="S132" t="str">
            <v xml:space="preserve"> - </v>
          </cell>
          <cell r="T132">
            <v>0</v>
          </cell>
        </row>
        <row r="133">
          <cell r="S133" t="str">
            <v xml:space="preserve"> - </v>
          </cell>
          <cell r="T133">
            <v>0</v>
          </cell>
        </row>
        <row r="134">
          <cell r="S134" t="str">
            <v xml:space="preserve"> - </v>
          </cell>
          <cell r="T134">
            <v>0</v>
          </cell>
        </row>
        <row r="135">
          <cell r="S135" t="str">
            <v xml:space="preserve"> - </v>
          </cell>
          <cell r="T135">
            <v>0</v>
          </cell>
        </row>
        <row r="136">
          <cell r="S136" t="str">
            <v xml:space="preserve"> - </v>
          </cell>
          <cell r="T136">
            <v>0</v>
          </cell>
        </row>
        <row r="137">
          <cell r="S137" t="str">
            <v xml:space="preserve"> - </v>
          </cell>
          <cell r="T137">
            <v>0</v>
          </cell>
        </row>
        <row r="138">
          <cell r="S138" t="str">
            <v xml:space="preserve"> - </v>
          </cell>
          <cell r="T138">
            <v>0</v>
          </cell>
        </row>
        <row r="139">
          <cell r="S139" t="str">
            <v xml:space="preserve"> - </v>
          </cell>
          <cell r="T139">
            <v>0</v>
          </cell>
        </row>
        <row r="140">
          <cell r="S140" t="str">
            <v xml:space="preserve"> - </v>
          </cell>
          <cell r="T140">
            <v>0</v>
          </cell>
        </row>
        <row r="141">
          <cell r="S141" t="str">
            <v xml:space="preserve"> - </v>
          </cell>
          <cell r="T141">
            <v>0</v>
          </cell>
        </row>
        <row r="142">
          <cell r="S142" t="str">
            <v xml:space="preserve"> - </v>
          </cell>
          <cell r="T142">
            <v>0</v>
          </cell>
        </row>
        <row r="143">
          <cell r="S143" t="str">
            <v xml:space="preserve"> - </v>
          </cell>
          <cell r="T143">
            <v>0</v>
          </cell>
        </row>
        <row r="144">
          <cell r="S144" t="str">
            <v xml:space="preserve"> - </v>
          </cell>
          <cell r="T144">
            <v>0</v>
          </cell>
        </row>
        <row r="145">
          <cell r="S145" t="str">
            <v xml:space="preserve"> - </v>
          </cell>
          <cell r="T145">
            <v>0</v>
          </cell>
        </row>
        <row r="146">
          <cell r="S146" t="str">
            <v xml:space="preserve"> - </v>
          </cell>
          <cell r="T146">
            <v>0</v>
          </cell>
        </row>
        <row r="147">
          <cell r="S147" t="str">
            <v xml:space="preserve"> - </v>
          </cell>
          <cell r="T147">
            <v>0</v>
          </cell>
        </row>
        <row r="148">
          <cell r="S148" t="str">
            <v xml:space="preserve"> - </v>
          </cell>
          <cell r="T148">
            <v>0</v>
          </cell>
        </row>
        <row r="149">
          <cell r="S149" t="str">
            <v xml:space="preserve"> - </v>
          </cell>
          <cell r="T149">
            <v>0</v>
          </cell>
        </row>
        <row r="150">
          <cell r="S150" t="str">
            <v xml:space="preserve"> - </v>
          </cell>
          <cell r="T150">
            <v>0</v>
          </cell>
        </row>
        <row r="151">
          <cell r="S151" t="str">
            <v xml:space="preserve"> - </v>
          </cell>
          <cell r="T151">
            <v>0</v>
          </cell>
        </row>
        <row r="152">
          <cell r="S152" t="str">
            <v xml:space="preserve"> - </v>
          </cell>
          <cell r="T152">
            <v>0</v>
          </cell>
        </row>
        <row r="153">
          <cell r="S153" t="str">
            <v xml:space="preserve"> - </v>
          </cell>
          <cell r="T153">
            <v>0</v>
          </cell>
        </row>
        <row r="154">
          <cell r="S154" t="str">
            <v xml:space="preserve"> - </v>
          </cell>
          <cell r="T154">
            <v>0</v>
          </cell>
        </row>
        <row r="155">
          <cell r="S155" t="str">
            <v xml:space="preserve"> - </v>
          </cell>
          <cell r="T155">
            <v>0</v>
          </cell>
        </row>
        <row r="156">
          <cell r="S156" t="str">
            <v xml:space="preserve"> - </v>
          </cell>
          <cell r="T156">
            <v>0</v>
          </cell>
        </row>
        <row r="157">
          <cell r="S157" t="str">
            <v xml:space="preserve"> - </v>
          </cell>
          <cell r="T157">
            <v>0</v>
          </cell>
        </row>
        <row r="158">
          <cell r="S158" t="str">
            <v xml:space="preserve"> - </v>
          </cell>
          <cell r="T158">
            <v>0</v>
          </cell>
        </row>
        <row r="159">
          <cell r="S159" t="str">
            <v xml:space="preserve"> - </v>
          </cell>
          <cell r="T159">
            <v>0</v>
          </cell>
        </row>
        <row r="160">
          <cell r="S160" t="str">
            <v xml:space="preserve"> - </v>
          </cell>
          <cell r="T160">
            <v>0</v>
          </cell>
        </row>
        <row r="161">
          <cell r="S161" t="str">
            <v xml:space="preserve">YTSGR013 - </v>
          </cell>
          <cell r="T161">
            <v>8</v>
          </cell>
        </row>
        <row r="162">
          <cell r="S162" t="str">
            <v xml:space="preserve"> - </v>
          </cell>
          <cell r="T162">
            <v>0</v>
          </cell>
        </row>
        <row r="163">
          <cell r="S163" t="str">
            <v xml:space="preserve">YTSRD011 - </v>
          </cell>
          <cell r="T163">
            <v>12</v>
          </cell>
        </row>
        <row r="164">
          <cell r="S164" t="str">
            <v xml:space="preserve">YTSDZ013 - </v>
          </cell>
          <cell r="T164">
            <v>18</v>
          </cell>
        </row>
        <row r="165">
          <cell r="S165" t="str">
            <v xml:space="preserve"> - </v>
          </cell>
          <cell r="T165">
            <v>0</v>
          </cell>
        </row>
        <row r="166">
          <cell r="S166" t="str">
            <v xml:space="preserve"> - </v>
          </cell>
          <cell r="T166">
            <v>0</v>
          </cell>
        </row>
        <row r="167">
          <cell r="S167" t="str">
            <v xml:space="preserve"> - </v>
          </cell>
          <cell r="T167">
            <v>0</v>
          </cell>
        </row>
        <row r="168">
          <cell r="S168" t="str">
            <v xml:space="preserve"> - </v>
          </cell>
          <cell r="T168">
            <v>0</v>
          </cell>
        </row>
        <row r="169">
          <cell r="S169" t="str">
            <v xml:space="preserve"> - </v>
          </cell>
          <cell r="T169">
            <v>0</v>
          </cell>
        </row>
        <row r="170">
          <cell r="S170" t="str">
            <v xml:space="preserve"> - </v>
          </cell>
          <cell r="T170">
            <v>0</v>
          </cell>
        </row>
        <row r="171">
          <cell r="S171" t="str">
            <v xml:space="preserve"> - </v>
          </cell>
          <cell r="T171">
            <v>0</v>
          </cell>
        </row>
        <row r="172">
          <cell r="S172" t="str">
            <v xml:space="preserve"> - </v>
          </cell>
          <cell r="T172">
            <v>0</v>
          </cell>
        </row>
        <row r="173">
          <cell r="S173" t="str">
            <v xml:space="preserve"> - </v>
          </cell>
          <cell r="T173">
            <v>0</v>
          </cell>
        </row>
        <row r="174">
          <cell r="S174" t="str">
            <v xml:space="preserve"> - </v>
          </cell>
          <cell r="T174">
            <v>0</v>
          </cell>
        </row>
        <row r="175">
          <cell r="S175" t="str">
            <v xml:space="preserve">YTSHT061 - </v>
          </cell>
          <cell r="T175">
            <v>4</v>
          </cell>
        </row>
        <row r="176">
          <cell r="S176" t="str">
            <v xml:space="preserve">YTSHT001 - </v>
          </cell>
          <cell r="T176">
            <v>0</v>
          </cell>
        </row>
        <row r="177">
          <cell r="S177" t="str">
            <v xml:space="preserve">YTSHT096 - </v>
          </cell>
          <cell r="T177">
            <v>24</v>
          </cell>
        </row>
        <row r="178">
          <cell r="S178" t="str">
            <v xml:space="preserve"> - </v>
          </cell>
          <cell r="T178">
            <v>0</v>
          </cell>
        </row>
        <row r="179">
          <cell r="S179" t="str">
            <v xml:space="preserve"> - </v>
          </cell>
          <cell r="T179">
            <v>0</v>
          </cell>
        </row>
        <row r="180">
          <cell r="S180" t="str">
            <v xml:space="preserve"> - </v>
          </cell>
          <cell r="T180">
            <v>0</v>
          </cell>
        </row>
        <row r="181">
          <cell r="S181" t="str">
            <v xml:space="preserve"> - </v>
          </cell>
          <cell r="T181">
            <v>0</v>
          </cell>
        </row>
        <row r="182">
          <cell r="S182" t="str">
            <v xml:space="preserve"> - </v>
          </cell>
          <cell r="T182">
            <v>0</v>
          </cell>
        </row>
        <row r="183">
          <cell r="S183" t="str">
            <v xml:space="preserve"> - </v>
          </cell>
          <cell r="T183">
            <v>0</v>
          </cell>
        </row>
        <row r="184">
          <cell r="S184" t="str">
            <v xml:space="preserve"> - </v>
          </cell>
          <cell r="T184">
            <v>0</v>
          </cell>
        </row>
        <row r="185">
          <cell r="S185" t="str">
            <v xml:space="preserve"> - </v>
          </cell>
          <cell r="T185">
            <v>0</v>
          </cell>
        </row>
        <row r="186">
          <cell r="S186" t="str">
            <v xml:space="preserve"> - </v>
          </cell>
          <cell r="T186">
            <v>0</v>
          </cell>
        </row>
        <row r="187">
          <cell r="S187" t="str">
            <v xml:space="preserve">YTSDZ026 - </v>
          </cell>
          <cell r="T187">
            <v>0</v>
          </cell>
        </row>
        <row r="188">
          <cell r="S188" t="str">
            <v xml:space="preserve">YTSHT074 - </v>
          </cell>
          <cell r="T188">
            <v>0</v>
          </cell>
        </row>
        <row r="189">
          <cell r="S189" t="str">
            <v xml:space="preserve">YTSHT001 - </v>
          </cell>
          <cell r="T189">
            <v>1</v>
          </cell>
        </row>
        <row r="190">
          <cell r="S190" t="str">
            <v xml:space="preserve"> - </v>
          </cell>
          <cell r="T190">
            <v>0</v>
          </cell>
        </row>
        <row r="191">
          <cell r="S191" t="str">
            <v xml:space="preserve">YTSHT074 - </v>
          </cell>
          <cell r="T191">
            <v>1</v>
          </cell>
        </row>
        <row r="192">
          <cell r="S192" t="str">
            <v xml:space="preserve">YTSHT092 - </v>
          </cell>
          <cell r="T192">
            <v>1</v>
          </cell>
        </row>
        <row r="193">
          <cell r="S193" t="str">
            <v xml:space="preserve">YTSHT097 - </v>
          </cell>
          <cell r="T193">
            <v>1</v>
          </cell>
        </row>
        <row r="194">
          <cell r="S194" t="str">
            <v xml:space="preserve">YTSHT113 - </v>
          </cell>
          <cell r="T194">
            <v>1</v>
          </cell>
        </row>
        <row r="195">
          <cell r="S195" t="str">
            <v xml:space="preserve">YTSLD007 - </v>
          </cell>
          <cell r="T195">
            <v>1</v>
          </cell>
        </row>
        <row r="196">
          <cell r="S196" t="str">
            <v xml:space="preserve">YTSGR016 - </v>
          </cell>
          <cell r="T196">
            <v>2</v>
          </cell>
        </row>
        <row r="197">
          <cell r="S197" t="str">
            <v xml:space="preserve">YTSHT039 - </v>
          </cell>
          <cell r="T197">
            <v>12</v>
          </cell>
        </row>
        <row r="198">
          <cell r="S198" t="str">
            <v xml:space="preserve"> - </v>
          </cell>
          <cell r="T198">
            <v>0</v>
          </cell>
        </row>
        <row r="199">
          <cell r="S199" t="str">
            <v xml:space="preserve"> - </v>
          </cell>
          <cell r="T199">
            <v>0</v>
          </cell>
        </row>
        <row r="200">
          <cell r="S200" t="str">
            <v xml:space="preserve"> - </v>
          </cell>
          <cell r="T200">
            <v>0</v>
          </cell>
        </row>
        <row r="201">
          <cell r="S201" t="str">
            <v xml:space="preserve"> - </v>
          </cell>
          <cell r="T201">
            <v>0</v>
          </cell>
        </row>
        <row r="202">
          <cell r="S202" t="str">
            <v xml:space="preserve"> - </v>
          </cell>
          <cell r="T202">
            <v>0</v>
          </cell>
        </row>
        <row r="203">
          <cell r="S203" t="str">
            <v xml:space="preserve"> - </v>
          </cell>
          <cell r="T203">
            <v>0</v>
          </cell>
        </row>
        <row r="204">
          <cell r="S204" t="str">
            <v xml:space="preserve"> - </v>
          </cell>
          <cell r="T204">
            <v>0</v>
          </cell>
        </row>
        <row r="205">
          <cell r="S205" t="str">
            <v xml:space="preserve">YTSHT063 - </v>
          </cell>
          <cell r="T205">
            <v>12</v>
          </cell>
        </row>
        <row r="206">
          <cell r="S206" t="str">
            <v xml:space="preserve"> - </v>
          </cell>
          <cell r="T206">
            <v>0</v>
          </cell>
        </row>
        <row r="207">
          <cell r="S207" t="str">
            <v xml:space="preserve"> - </v>
          </cell>
          <cell r="T207">
            <v>0</v>
          </cell>
        </row>
        <row r="208">
          <cell r="S208" t="str">
            <v xml:space="preserve"> - </v>
          </cell>
          <cell r="T208">
            <v>0</v>
          </cell>
        </row>
        <row r="209">
          <cell r="S209" t="str">
            <v xml:space="preserve"> - </v>
          </cell>
          <cell r="T209">
            <v>0</v>
          </cell>
        </row>
        <row r="210">
          <cell r="S210" t="str">
            <v xml:space="preserve"> - </v>
          </cell>
          <cell r="T210">
            <v>0</v>
          </cell>
        </row>
        <row r="211">
          <cell r="S211" t="str">
            <v xml:space="preserve"> - </v>
          </cell>
          <cell r="T211">
            <v>0</v>
          </cell>
        </row>
        <row r="212">
          <cell r="S212" t="str">
            <v xml:space="preserve"> - </v>
          </cell>
          <cell r="T212">
            <v>0</v>
          </cell>
        </row>
        <row r="213">
          <cell r="S213" t="str">
            <v xml:space="preserve"> - </v>
          </cell>
          <cell r="T213">
            <v>0</v>
          </cell>
        </row>
        <row r="214">
          <cell r="S214" t="str">
            <v xml:space="preserve"> - </v>
          </cell>
          <cell r="T214">
            <v>0</v>
          </cell>
        </row>
        <row r="215">
          <cell r="S215" t="str">
            <v xml:space="preserve">YTSHT044 - </v>
          </cell>
          <cell r="T215">
            <v>48</v>
          </cell>
        </row>
        <row r="216">
          <cell r="S216" t="str">
            <v xml:space="preserve"> - </v>
          </cell>
          <cell r="T216">
            <v>0</v>
          </cell>
        </row>
        <row r="217">
          <cell r="S217" t="str">
            <v xml:space="preserve"> - </v>
          </cell>
          <cell r="T217">
            <v>0</v>
          </cell>
        </row>
        <row r="218">
          <cell r="S218" t="str">
            <v xml:space="preserve"> - </v>
          </cell>
          <cell r="T218">
            <v>0</v>
          </cell>
        </row>
        <row r="219">
          <cell r="S219" t="str">
            <v xml:space="preserve"> - </v>
          </cell>
          <cell r="T219">
            <v>0</v>
          </cell>
        </row>
        <row r="220">
          <cell r="S220" t="str">
            <v xml:space="preserve"> - </v>
          </cell>
          <cell r="T220">
            <v>0</v>
          </cell>
        </row>
        <row r="221">
          <cell r="S221" t="str">
            <v xml:space="preserve"> - </v>
          </cell>
          <cell r="T221">
            <v>0</v>
          </cell>
        </row>
        <row r="222">
          <cell r="S222" t="str">
            <v xml:space="preserve"> - </v>
          </cell>
          <cell r="T222">
            <v>0</v>
          </cell>
        </row>
        <row r="223">
          <cell r="S223" t="str">
            <v xml:space="preserve"> - </v>
          </cell>
          <cell r="T223">
            <v>0</v>
          </cell>
        </row>
        <row r="224">
          <cell r="S224" t="str">
            <v xml:space="preserve"> - </v>
          </cell>
          <cell r="T224">
            <v>0</v>
          </cell>
        </row>
        <row r="225">
          <cell r="S225" t="str">
            <v xml:space="preserve"> - </v>
          </cell>
          <cell r="T225">
            <v>0</v>
          </cell>
        </row>
        <row r="226">
          <cell r="S226" t="str">
            <v xml:space="preserve"> - </v>
          </cell>
          <cell r="T226">
            <v>0</v>
          </cell>
        </row>
        <row r="227">
          <cell r="S227" t="str">
            <v xml:space="preserve"> - </v>
          </cell>
          <cell r="T227">
            <v>0</v>
          </cell>
        </row>
        <row r="228">
          <cell r="S228" t="str">
            <v xml:space="preserve"> - </v>
          </cell>
          <cell r="T228">
            <v>0</v>
          </cell>
        </row>
        <row r="229">
          <cell r="S229" t="str">
            <v xml:space="preserve"> - </v>
          </cell>
          <cell r="T229">
            <v>0</v>
          </cell>
        </row>
        <row r="230">
          <cell r="S230" t="str">
            <v xml:space="preserve"> - </v>
          </cell>
          <cell r="T230">
            <v>0</v>
          </cell>
        </row>
        <row r="231">
          <cell r="S231" t="str">
            <v xml:space="preserve"> - </v>
          </cell>
          <cell r="T231">
            <v>0</v>
          </cell>
        </row>
        <row r="232">
          <cell r="S232" t="str">
            <v xml:space="preserve"> - </v>
          </cell>
          <cell r="T232">
            <v>0</v>
          </cell>
        </row>
        <row r="233">
          <cell r="S233" t="str">
            <v xml:space="preserve">YTSHT060 - </v>
          </cell>
          <cell r="T233">
            <v>12</v>
          </cell>
        </row>
        <row r="234">
          <cell r="S234" t="str">
            <v xml:space="preserve"> - </v>
          </cell>
          <cell r="T234">
            <v>0</v>
          </cell>
        </row>
        <row r="235">
          <cell r="S235" t="str">
            <v xml:space="preserve"> - </v>
          </cell>
          <cell r="T235">
            <v>0</v>
          </cell>
        </row>
        <row r="236">
          <cell r="S236" t="str">
            <v xml:space="preserve"> - </v>
          </cell>
          <cell r="T236">
            <v>0</v>
          </cell>
        </row>
        <row r="237">
          <cell r="S237" t="str">
            <v xml:space="preserve"> - </v>
          </cell>
          <cell r="T237">
            <v>0</v>
          </cell>
        </row>
        <row r="238">
          <cell r="S238" t="str">
            <v xml:space="preserve"> - </v>
          </cell>
          <cell r="T238">
            <v>0</v>
          </cell>
        </row>
        <row r="239">
          <cell r="S239" t="str">
            <v xml:space="preserve">YTSHT109 - </v>
          </cell>
          <cell r="T239">
            <v>12</v>
          </cell>
        </row>
        <row r="240">
          <cell r="S240" t="str">
            <v xml:space="preserve"> - </v>
          </cell>
          <cell r="T240">
            <v>0</v>
          </cell>
        </row>
        <row r="241">
          <cell r="S241" t="str">
            <v xml:space="preserve"> - </v>
          </cell>
          <cell r="T241">
            <v>0</v>
          </cell>
        </row>
        <row r="242">
          <cell r="S242" t="str">
            <v xml:space="preserve"> - </v>
          </cell>
          <cell r="T242">
            <v>0</v>
          </cell>
        </row>
        <row r="243">
          <cell r="S243" t="str">
            <v xml:space="preserve"> - </v>
          </cell>
          <cell r="T243">
            <v>0</v>
          </cell>
        </row>
        <row r="244">
          <cell r="S244" t="str">
            <v xml:space="preserve"> - </v>
          </cell>
          <cell r="T244">
            <v>0</v>
          </cell>
        </row>
        <row r="245">
          <cell r="S245" t="str">
            <v xml:space="preserve"> - </v>
          </cell>
          <cell r="T245">
            <v>0</v>
          </cell>
        </row>
        <row r="246">
          <cell r="S246" t="str">
            <v xml:space="preserve">YTSDZ025 - </v>
          </cell>
          <cell r="T246">
            <v>1</v>
          </cell>
        </row>
        <row r="247">
          <cell r="S247" t="str">
            <v xml:space="preserve">YTSHT006 - </v>
          </cell>
          <cell r="T247">
            <v>1</v>
          </cell>
        </row>
        <row r="248">
          <cell r="S248" t="str">
            <v xml:space="preserve">YTSHT009 - </v>
          </cell>
          <cell r="T248">
            <v>1</v>
          </cell>
        </row>
        <row r="249">
          <cell r="S249" t="str">
            <v xml:space="preserve">YTSHT023 - </v>
          </cell>
          <cell r="T249">
            <v>1</v>
          </cell>
        </row>
        <row r="250">
          <cell r="S250" t="str">
            <v xml:space="preserve"> - </v>
          </cell>
          <cell r="T250">
            <v>0</v>
          </cell>
        </row>
        <row r="251">
          <cell r="S251" t="str">
            <v xml:space="preserve">YTSHT041 - </v>
          </cell>
          <cell r="T251">
            <v>1</v>
          </cell>
        </row>
        <row r="252">
          <cell r="S252" t="str">
            <v xml:space="preserve"> - </v>
          </cell>
          <cell r="T252">
            <v>0</v>
          </cell>
        </row>
        <row r="253">
          <cell r="S253" t="str">
            <v xml:space="preserve">YTSHT054 - </v>
          </cell>
          <cell r="T253">
            <v>1</v>
          </cell>
        </row>
        <row r="254">
          <cell r="S254" t="str">
            <v xml:space="preserve"> - </v>
          </cell>
          <cell r="T254">
            <v>0</v>
          </cell>
        </row>
        <row r="255">
          <cell r="S255" t="str">
            <v xml:space="preserve">YTSHT062 - </v>
          </cell>
          <cell r="T255">
            <v>1</v>
          </cell>
        </row>
        <row r="256">
          <cell r="S256" t="str">
            <v xml:space="preserve">YTSHT079 - </v>
          </cell>
          <cell r="T256">
            <v>1</v>
          </cell>
        </row>
        <row r="257">
          <cell r="S257" t="str">
            <v xml:space="preserve">YTSHT061 - </v>
          </cell>
          <cell r="T257">
            <v>12</v>
          </cell>
        </row>
        <row r="258">
          <cell r="S258" t="str">
            <v xml:space="preserve"> - </v>
          </cell>
          <cell r="T258">
            <v>0</v>
          </cell>
        </row>
        <row r="259">
          <cell r="S259" t="str">
            <v xml:space="preserve"> - </v>
          </cell>
          <cell r="T259">
            <v>0</v>
          </cell>
        </row>
        <row r="260">
          <cell r="S260" t="str">
            <v xml:space="preserve"> - </v>
          </cell>
          <cell r="T260">
            <v>0</v>
          </cell>
        </row>
        <row r="261">
          <cell r="S261" t="str">
            <v xml:space="preserve"> - </v>
          </cell>
          <cell r="T261">
            <v>0</v>
          </cell>
        </row>
        <row r="262">
          <cell r="S262" t="str">
            <v xml:space="preserve"> - </v>
          </cell>
          <cell r="T262">
            <v>0</v>
          </cell>
        </row>
        <row r="263">
          <cell r="S263" t="str">
            <v xml:space="preserve"> - </v>
          </cell>
          <cell r="T263">
            <v>0</v>
          </cell>
        </row>
        <row r="264">
          <cell r="S264" t="str">
            <v xml:space="preserve">YTSHT116 - </v>
          </cell>
          <cell r="T264">
            <v>12</v>
          </cell>
        </row>
        <row r="265">
          <cell r="S265" t="str">
            <v xml:space="preserve"> - </v>
          </cell>
          <cell r="T265">
            <v>0</v>
          </cell>
        </row>
        <row r="266">
          <cell r="S266" t="str">
            <v xml:space="preserve"> - </v>
          </cell>
          <cell r="T266">
            <v>0</v>
          </cell>
        </row>
        <row r="267">
          <cell r="S267" t="str">
            <v xml:space="preserve"> - </v>
          </cell>
          <cell r="T267">
            <v>0</v>
          </cell>
        </row>
        <row r="268">
          <cell r="S268" t="str">
            <v xml:space="preserve"> - </v>
          </cell>
          <cell r="T268">
            <v>0</v>
          </cell>
        </row>
        <row r="269">
          <cell r="S269" t="str">
            <v xml:space="preserve"> - </v>
          </cell>
          <cell r="T269">
            <v>0</v>
          </cell>
        </row>
        <row r="270">
          <cell r="S270" t="str">
            <v xml:space="preserve">YTSGR015 - </v>
          </cell>
          <cell r="T270">
            <v>18</v>
          </cell>
        </row>
        <row r="271">
          <cell r="S271" t="str">
            <v xml:space="preserve"> - </v>
          </cell>
          <cell r="T271">
            <v>0</v>
          </cell>
        </row>
        <row r="272">
          <cell r="S272" t="str">
            <v xml:space="preserve"> - </v>
          </cell>
          <cell r="T272">
            <v>0</v>
          </cell>
        </row>
        <row r="273">
          <cell r="S273" t="str">
            <v xml:space="preserve"> - </v>
          </cell>
          <cell r="T273">
            <v>0</v>
          </cell>
        </row>
        <row r="274">
          <cell r="S274" t="str">
            <v xml:space="preserve"> - </v>
          </cell>
          <cell r="T274">
            <v>0</v>
          </cell>
        </row>
        <row r="275">
          <cell r="S275" t="str">
            <v xml:space="preserve"> - </v>
          </cell>
          <cell r="T275">
            <v>0</v>
          </cell>
        </row>
        <row r="276">
          <cell r="S276" t="str">
            <v xml:space="preserve"> - </v>
          </cell>
          <cell r="T276">
            <v>0</v>
          </cell>
        </row>
        <row r="277">
          <cell r="S277" t="str">
            <v xml:space="preserve"> - </v>
          </cell>
          <cell r="T277">
            <v>0</v>
          </cell>
        </row>
        <row r="278">
          <cell r="S278" t="str">
            <v xml:space="preserve"> - </v>
          </cell>
          <cell r="T278">
            <v>0</v>
          </cell>
        </row>
        <row r="279">
          <cell r="S279" t="str">
            <v xml:space="preserve"> - </v>
          </cell>
          <cell r="T279">
            <v>0</v>
          </cell>
        </row>
        <row r="280">
          <cell r="S280" t="str">
            <v xml:space="preserve"> - </v>
          </cell>
          <cell r="T280">
            <v>0</v>
          </cell>
        </row>
        <row r="281">
          <cell r="S281" t="str">
            <v xml:space="preserve"> - </v>
          </cell>
          <cell r="T281">
            <v>0</v>
          </cell>
        </row>
        <row r="282">
          <cell r="S282" t="str">
            <v xml:space="preserve"> - </v>
          </cell>
          <cell r="T282">
            <v>0</v>
          </cell>
        </row>
        <row r="283">
          <cell r="S283" t="str">
            <v xml:space="preserve"> - </v>
          </cell>
          <cell r="T283">
            <v>0</v>
          </cell>
        </row>
        <row r="284">
          <cell r="S284" t="str">
            <v xml:space="preserve"> - </v>
          </cell>
          <cell r="T284">
            <v>0</v>
          </cell>
        </row>
        <row r="285">
          <cell r="S285" t="str">
            <v xml:space="preserve"> - </v>
          </cell>
          <cell r="T285">
            <v>0</v>
          </cell>
        </row>
        <row r="286">
          <cell r="S286" t="str">
            <v xml:space="preserve">YTSHT008 - </v>
          </cell>
          <cell r="T286">
            <v>24</v>
          </cell>
        </row>
        <row r="287">
          <cell r="S287" t="str">
            <v xml:space="preserve"> - </v>
          </cell>
          <cell r="T287">
            <v>0</v>
          </cell>
        </row>
        <row r="288">
          <cell r="S288" t="str">
            <v xml:space="preserve"> - </v>
          </cell>
          <cell r="T288">
            <v>0</v>
          </cell>
        </row>
        <row r="289">
          <cell r="S289" t="str">
            <v xml:space="preserve"> - </v>
          </cell>
          <cell r="T289">
            <v>0</v>
          </cell>
        </row>
        <row r="290">
          <cell r="S290" t="str">
            <v xml:space="preserve"> - </v>
          </cell>
          <cell r="T290">
            <v>0</v>
          </cell>
        </row>
        <row r="291">
          <cell r="S291" t="str">
            <v xml:space="preserve">YTSHT062 - </v>
          </cell>
          <cell r="T291">
            <v>120</v>
          </cell>
        </row>
        <row r="292">
          <cell r="S292" t="str">
            <v xml:space="preserve"> - </v>
          </cell>
          <cell r="T292">
            <v>0</v>
          </cell>
        </row>
        <row r="293">
          <cell r="S293" t="str">
            <v xml:space="preserve"> - </v>
          </cell>
          <cell r="T293">
            <v>0</v>
          </cell>
        </row>
        <row r="294">
          <cell r="S294" t="str">
            <v xml:space="preserve"> - </v>
          </cell>
          <cell r="T294">
            <v>0</v>
          </cell>
        </row>
        <row r="295">
          <cell r="S295" t="str">
            <v xml:space="preserve"> - </v>
          </cell>
          <cell r="T295">
            <v>0</v>
          </cell>
        </row>
        <row r="296">
          <cell r="S296" t="str">
            <v xml:space="preserve"> - </v>
          </cell>
          <cell r="T296">
            <v>0</v>
          </cell>
        </row>
        <row r="297">
          <cell r="S297" t="str">
            <v xml:space="preserve"> - </v>
          </cell>
          <cell r="T297">
            <v>0</v>
          </cell>
        </row>
        <row r="298">
          <cell r="S298" t="str">
            <v xml:space="preserve"> - </v>
          </cell>
          <cell r="T298">
            <v>0</v>
          </cell>
        </row>
        <row r="299">
          <cell r="S299" t="str">
            <v xml:space="preserve"> - </v>
          </cell>
          <cell r="T299">
            <v>0</v>
          </cell>
        </row>
        <row r="300">
          <cell r="S300" t="str">
            <v xml:space="preserve"> - </v>
          </cell>
          <cell r="T300">
            <v>0</v>
          </cell>
        </row>
        <row r="301">
          <cell r="S301" t="str">
            <v xml:space="preserve"> - </v>
          </cell>
          <cell r="T301">
            <v>0</v>
          </cell>
        </row>
        <row r="302">
          <cell r="S302" t="str">
            <v xml:space="preserve"> - </v>
          </cell>
          <cell r="T302">
            <v>0</v>
          </cell>
        </row>
        <row r="303">
          <cell r="S303" t="str">
            <v xml:space="preserve"> - </v>
          </cell>
          <cell r="T303">
            <v>0</v>
          </cell>
        </row>
        <row r="304">
          <cell r="S304" t="str">
            <v xml:space="preserve"> - </v>
          </cell>
          <cell r="T304">
            <v>0</v>
          </cell>
        </row>
        <row r="305">
          <cell r="S305" t="str">
            <v xml:space="preserve"> - </v>
          </cell>
          <cell r="T305">
            <v>0</v>
          </cell>
        </row>
        <row r="306">
          <cell r="S306" t="str">
            <v xml:space="preserve"> - </v>
          </cell>
          <cell r="T306">
            <v>0</v>
          </cell>
        </row>
        <row r="307">
          <cell r="S307" t="str">
            <v xml:space="preserve"> - </v>
          </cell>
          <cell r="T307">
            <v>0</v>
          </cell>
        </row>
        <row r="308">
          <cell r="S308" t="str">
            <v xml:space="preserve"> - </v>
          </cell>
          <cell r="T308">
            <v>0</v>
          </cell>
        </row>
        <row r="309">
          <cell r="S309" t="str">
            <v xml:space="preserve"> - </v>
          </cell>
          <cell r="T309">
            <v>0</v>
          </cell>
        </row>
        <row r="310">
          <cell r="S310" t="str">
            <v xml:space="preserve"> - </v>
          </cell>
          <cell r="T310">
            <v>0</v>
          </cell>
        </row>
        <row r="311">
          <cell r="S311" t="str">
            <v xml:space="preserve"> - </v>
          </cell>
          <cell r="T311">
            <v>0</v>
          </cell>
        </row>
        <row r="312">
          <cell r="S312" t="str">
            <v xml:space="preserve">YTSHT037 - </v>
          </cell>
          <cell r="T312">
            <v>12</v>
          </cell>
        </row>
        <row r="313">
          <cell r="S313" t="str">
            <v xml:space="preserve"> - </v>
          </cell>
          <cell r="T313">
            <v>0</v>
          </cell>
        </row>
        <row r="314">
          <cell r="S314" t="str">
            <v xml:space="preserve"> - </v>
          </cell>
          <cell r="T314">
            <v>0</v>
          </cell>
        </row>
        <row r="315">
          <cell r="S315" t="str">
            <v xml:space="preserve"> - </v>
          </cell>
          <cell r="T315">
            <v>0</v>
          </cell>
        </row>
        <row r="316">
          <cell r="S316" t="str">
            <v xml:space="preserve"> - </v>
          </cell>
          <cell r="T316">
            <v>0</v>
          </cell>
        </row>
        <row r="317">
          <cell r="S317" t="str">
            <v>YTSHT019 - W22</v>
          </cell>
          <cell r="T317">
            <v>14</v>
          </cell>
        </row>
        <row r="318">
          <cell r="S318" t="str">
            <v xml:space="preserve"> - </v>
          </cell>
          <cell r="T318">
            <v>0</v>
          </cell>
        </row>
        <row r="319">
          <cell r="S319" t="str">
            <v xml:space="preserve"> - </v>
          </cell>
          <cell r="T319">
            <v>0</v>
          </cell>
        </row>
        <row r="320">
          <cell r="S320" t="str">
            <v xml:space="preserve"> - </v>
          </cell>
          <cell r="T320">
            <v>0</v>
          </cell>
        </row>
        <row r="321">
          <cell r="S321" t="str">
            <v xml:space="preserve"> - </v>
          </cell>
          <cell r="T321">
            <v>0</v>
          </cell>
        </row>
        <row r="322">
          <cell r="S322" t="str">
            <v xml:space="preserve"> - </v>
          </cell>
          <cell r="T322">
            <v>0</v>
          </cell>
        </row>
        <row r="323">
          <cell r="S323" t="str">
            <v xml:space="preserve"> - </v>
          </cell>
          <cell r="T323">
            <v>0</v>
          </cell>
        </row>
        <row r="324">
          <cell r="S324" t="str">
            <v xml:space="preserve">YTSDZ012 - </v>
          </cell>
          <cell r="T324">
            <v>18</v>
          </cell>
        </row>
        <row r="325">
          <cell r="S325" t="str">
            <v xml:space="preserve"> - </v>
          </cell>
          <cell r="T325">
            <v>0</v>
          </cell>
        </row>
        <row r="326">
          <cell r="S326" t="str">
            <v xml:space="preserve"> - </v>
          </cell>
          <cell r="T326">
            <v>0</v>
          </cell>
        </row>
        <row r="327">
          <cell r="S327" t="str">
            <v xml:space="preserve"> - </v>
          </cell>
          <cell r="T327">
            <v>0</v>
          </cell>
        </row>
        <row r="328">
          <cell r="S328" t="str">
            <v xml:space="preserve"> - </v>
          </cell>
          <cell r="T328">
            <v>0</v>
          </cell>
        </row>
        <row r="329">
          <cell r="S329" t="str">
            <v xml:space="preserve"> - </v>
          </cell>
          <cell r="T329">
            <v>0</v>
          </cell>
        </row>
        <row r="330">
          <cell r="S330" t="str">
            <v xml:space="preserve"> - </v>
          </cell>
          <cell r="T330">
            <v>0</v>
          </cell>
        </row>
        <row r="331">
          <cell r="S331" t="str">
            <v xml:space="preserve"> - </v>
          </cell>
          <cell r="T331">
            <v>0</v>
          </cell>
        </row>
        <row r="332">
          <cell r="S332" t="str">
            <v xml:space="preserve"> - </v>
          </cell>
          <cell r="T332">
            <v>0</v>
          </cell>
        </row>
        <row r="333">
          <cell r="S333" t="str">
            <v xml:space="preserve"> - </v>
          </cell>
          <cell r="T333">
            <v>0</v>
          </cell>
        </row>
        <row r="334">
          <cell r="S334" t="str">
            <v xml:space="preserve"> - </v>
          </cell>
          <cell r="T334">
            <v>0</v>
          </cell>
        </row>
        <row r="335">
          <cell r="S335" t="str">
            <v xml:space="preserve"> - </v>
          </cell>
          <cell r="T335">
            <v>0</v>
          </cell>
        </row>
        <row r="336">
          <cell r="S336" t="str">
            <v xml:space="preserve"> - </v>
          </cell>
          <cell r="T336">
            <v>0</v>
          </cell>
        </row>
        <row r="337">
          <cell r="S337" t="str">
            <v xml:space="preserve"> - </v>
          </cell>
          <cell r="T337">
            <v>0</v>
          </cell>
        </row>
        <row r="338">
          <cell r="S338" t="str">
            <v xml:space="preserve"> - </v>
          </cell>
          <cell r="T338">
            <v>0</v>
          </cell>
        </row>
        <row r="339">
          <cell r="S339" t="str">
            <v xml:space="preserve">YTSDZ016 - </v>
          </cell>
          <cell r="T339">
            <v>1</v>
          </cell>
        </row>
        <row r="340">
          <cell r="S340" t="str">
            <v xml:space="preserve">YTSHT004 - </v>
          </cell>
          <cell r="T340">
            <v>1</v>
          </cell>
        </row>
        <row r="341">
          <cell r="S341" t="str">
            <v xml:space="preserve">YTSHT010 - </v>
          </cell>
          <cell r="T341">
            <v>1</v>
          </cell>
        </row>
        <row r="342">
          <cell r="S342" t="str">
            <v xml:space="preserve">YTSHT016 - </v>
          </cell>
          <cell r="T342">
            <v>1</v>
          </cell>
        </row>
        <row r="343">
          <cell r="S343" t="str">
            <v xml:space="preserve">YTSHT030 - </v>
          </cell>
          <cell r="T343">
            <v>1</v>
          </cell>
        </row>
        <row r="344">
          <cell r="S344" t="str">
            <v xml:space="preserve">YTSHT031 - </v>
          </cell>
          <cell r="T344">
            <v>1</v>
          </cell>
        </row>
        <row r="345">
          <cell r="S345" t="str">
            <v xml:space="preserve">YTSHT099 - </v>
          </cell>
          <cell r="T345">
            <v>1</v>
          </cell>
        </row>
        <row r="346">
          <cell r="S346" t="str">
            <v xml:space="preserve"> - </v>
          </cell>
          <cell r="T346">
            <v>0</v>
          </cell>
        </row>
        <row r="347">
          <cell r="S347" t="str">
            <v xml:space="preserve">YTSHT112 - </v>
          </cell>
          <cell r="T347">
            <v>1</v>
          </cell>
        </row>
        <row r="348">
          <cell r="S348" t="str">
            <v xml:space="preserve"> - </v>
          </cell>
          <cell r="T348">
            <v>0</v>
          </cell>
        </row>
        <row r="349">
          <cell r="S349" t="str">
            <v xml:space="preserve">YTSHT118 - </v>
          </cell>
          <cell r="T349">
            <v>1</v>
          </cell>
        </row>
        <row r="350">
          <cell r="S350" t="str">
            <v xml:space="preserve"> - </v>
          </cell>
          <cell r="T350">
            <v>0</v>
          </cell>
        </row>
        <row r="351">
          <cell r="S351" t="str">
            <v xml:space="preserve">YTSDZ015 - </v>
          </cell>
          <cell r="T351">
            <v>12</v>
          </cell>
        </row>
        <row r="352">
          <cell r="S352" t="str">
            <v xml:space="preserve"> - </v>
          </cell>
          <cell r="T352">
            <v>0</v>
          </cell>
        </row>
        <row r="353">
          <cell r="S353" t="str">
            <v xml:space="preserve"> - </v>
          </cell>
          <cell r="T353">
            <v>0</v>
          </cell>
        </row>
        <row r="354">
          <cell r="S354" t="str">
            <v xml:space="preserve"> - </v>
          </cell>
          <cell r="T354">
            <v>0</v>
          </cell>
        </row>
        <row r="355">
          <cell r="S355" t="str">
            <v xml:space="preserve"> - </v>
          </cell>
          <cell r="T355">
            <v>0</v>
          </cell>
        </row>
        <row r="356">
          <cell r="S356" t="str">
            <v xml:space="preserve"> - </v>
          </cell>
          <cell r="T356">
            <v>0</v>
          </cell>
        </row>
        <row r="357">
          <cell r="S357" t="str">
            <v xml:space="preserve">YTSHT018 - </v>
          </cell>
          <cell r="T357">
            <v>12</v>
          </cell>
        </row>
        <row r="358">
          <cell r="S358" t="str">
            <v xml:space="preserve"> - </v>
          </cell>
          <cell r="T358">
            <v>0</v>
          </cell>
        </row>
        <row r="359">
          <cell r="S359" t="str">
            <v xml:space="preserve"> - </v>
          </cell>
          <cell r="T359">
            <v>0</v>
          </cell>
        </row>
        <row r="360">
          <cell r="S360" t="str">
            <v xml:space="preserve"> - </v>
          </cell>
          <cell r="T360">
            <v>0</v>
          </cell>
        </row>
        <row r="361">
          <cell r="S361" t="str">
            <v xml:space="preserve"> - </v>
          </cell>
          <cell r="T361">
            <v>0</v>
          </cell>
        </row>
        <row r="362">
          <cell r="S362" t="str">
            <v xml:space="preserve"> - </v>
          </cell>
          <cell r="T362">
            <v>0</v>
          </cell>
        </row>
        <row r="363">
          <cell r="S363" t="str">
            <v xml:space="preserve">YTSHT068 - </v>
          </cell>
          <cell r="T363">
            <v>12</v>
          </cell>
        </row>
        <row r="364">
          <cell r="S364" t="str">
            <v xml:space="preserve"> - </v>
          </cell>
          <cell r="T364">
            <v>0</v>
          </cell>
        </row>
        <row r="365">
          <cell r="S365" t="str">
            <v xml:space="preserve"> - </v>
          </cell>
          <cell r="T365">
            <v>0</v>
          </cell>
        </row>
        <row r="366">
          <cell r="S366" t="str">
            <v xml:space="preserve"> - </v>
          </cell>
          <cell r="T366">
            <v>0</v>
          </cell>
        </row>
        <row r="367">
          <cell r="S367" t="str">
            <v xml:space="preserve"> - </v>
          </cell>
          <cell r="T367">
            <v>0</v>
          </cell>
        </row>
        <row r="368">
          <cell r="S368" t="str">
            <v xml:space="preserve"> - </v>
          </cell>
          <cell r="T368">
            <v>0</v>
          </cell>
        </row>
        <row r="369">
          <cell r="S369" t="str">
            <v xml:space="preserve"> - </v>
          </cell>
          <cell r="T369">
            <v>0</v>
          </cell>
        </row>
        <row r="370">
          <cell r="S370" t="str">
            <v xml:space="preserve"> - </v>
          </cell>
          <cell r="T370">
            <v>0</v>
          </cell>
        </row>
        <row r="371">
          <cell r="S371" t="str">
            <v xml:space="preserve">YTSHT027 - </v>
          </cell>
          <cell r="T371">
            <v>18</v>
          </cell>
        </row>
        <row r="372">
          <cell r="S372" t="str">
            <v xml:space="preserve"> - </v>
          </cell>
          <cell r="T372">
            <v>0</v>
          </cell>
        </row>
        <row r="373">
          <cell r="S373" t="str">
            <v xml:space="preserve"> - </v>
          </cell>
          <cell r="T373">
            <v>0</v>
          </cell>
        </row>
        <row r="374">
          <cell r="S374" t="str">
            <v xml:space="preserve"> - </v>
          </cell>
          <cell r="T374">
            <v>0</v>
          </cell>
        </row>
        <row r="375">
          <cell r="S375" t="str">
            <v xml:space="preserve"> - </v>
          </cell>
          <cell r="T375">
            <v>0</v>
          </cell>
        </row>
        <row r="376">
          <cell r="S376" t="str">
            <v xml:space="preserve"> - </v>
          </cell>
          <cell r="T376">
            <v>0</v>
          </cell>
        </row>
        <row r="377">
          <cell r="S377" t="str">
            <v xml:space="preserve"> - </v>
          </cell>
          <cell r="T377">
            <v>0</v>
          </cell>
        </row>
        <row r="378">
          <cell r="S378" t="str">
            <v xml:space="preserve"> - </v>
          </cell>
          <cell r="T378">
            <v>0</v>
          </cell>
        </row>
        <row r="379">
          <cell r="S379" t="str">
            <v xml:space="preserve"> - </v>
          </cell>
          <cell r="T379">
            <v>0</v>
          </cell>
        </row>
        <row r="380">
          <cell r="S380" t="str">
            <v xml:space="preserve"> - </v>
          </cell>
          <cell r="T380">
            <v>0</v>
          </cell>
        </row>
        <row r="381">
          <cell r="S381" t="str">
            <v xml:space="preserve"> - </v>
          </cell>
          <cell r="T381">
            <v>0</v>
          </cell>
        </row>
        <row r="382">
          <cell r="S382" t="str">
            <v xml:space="preserve"> - </v>
          </cell>
          <cell r="T382">
            <v>0</v>
          </cell>
        </row>
        <row r="383">
          <cell r="S383" t="str">
            <v xml:space="preserve"> - </v>
          </cell>
          <cell r="T383">
            <v>0</v>
          </cell>
        </row>
        <row r="384">
          <cell r="S384" t="str">
            <v xml:space="preserve">YTSHT069 - </v>
          </cell>
          <cell r="T384">
            <v>24</v>
          </cell>
        </row>
        <row r="385">
          <cell r="S385" t="str">
            <v xml:space="preserve"> - </v>
          </cell>
          <cell r="T385">
            <v>0</v>
          </cell>
        </row>
        <row r="386">
          <cell r="S386" t="str">
            <v xml:space="preserve"> - </v>
          </cell>
          <cell r="T386">
            <v>0</v>
          </cell>
        </row>
        <row r="387">
          <cell r="S387" t="str">
            <v xml:space="preserve"> - </v>
          </cell>
          <cell r="T387">
            <v>0</v>
          </cell>
        </row>
        <row r="388">
          <cell r="S388" t="str">
            <v xml:space="preserve"> - </v>
          </cell>
          <cell r="T388">
            <v>0</v>
          </cell>
        </row>
        <row r="389">
          <cell r="S389" t="str">
            <v xml:space="preserve"> - </v>
          </cell>
          <cell r="T389">
            <v>0</v>
          </cell>
        </row>
        <row r="390">
          <cell r="S390" t="str">
            <v xml:space="preserve"> - </v>
          </cell>
          <cell r="T390">
            <v>0</v>
          </cell>
        </row>
        <row r="391">
          <cell r="S391" t="str">
            <v xml:space="preserve"> - </v>
          </cell>
          <cell r="T391">
            <v>0</v>
          </cell>
        </row>
        <row r="392">
          <cell r="S392" t="str">
            <v xml:space="preserve"> - </v>
          </cell>
          <cell r="T392">
            <v>0</v>
          </cell>
        </row>
        <row r="393">
          <cell r="S393" t="str">
            <v xml:space="preserve"> - </v>
          </cell>
          <cell r="T393">
            <v>0</v>
          </cell>
        </row>
        <row r="394">
          <cell r="S394" t="str">
            <v xml:space="preserve"> - </v>
          </cell>
          <cell r="T394">
            <v>0</v>
          </cell>
        </row>
        <row r="395">
          <cell r="S395" t="str">
            <v xml:space="preserve"> - </v>
          </cell>
          <cell r="T395">
            <v>0</v>
          </cell>
        </row>
        <row r="396">
          <cell r="S396" t="str">
            <v xml:space="preserve"> - </v>
          </cell>
          <cell r="T396">
            <v>0</v>
          </cell>
        </row>
        <row r="397">
          <cell r="S397" t="str">
            <v xml:space="preserve">YTSHT004 - </v>
          </cell>
          <cell r="T397">
            <v>36</v>
          </cell>
        </row>
        <row r="398">
          <cell r="S398" t="str">
            <v xml:space="preserve"> - </v>
          </cell>
          <cell r="T398">
            <v>0</v>
          </cell>
        </row>
        <row r="399">
          <cell r="S399" t="str">
            <v xml:space="preserve"> - </v>
          </cell>
          <cell r="T399">
            <v>0</v>
          </cell>
        </row>
        <row r="400">
          <cell r="S400" t="str">
            <v xml:space="preserve"> - </v>
          </cell>
          <cell r="T400">
            <v>0</v>
          </cell>
        </row>
        <row r="401">
          <cell r="S401" t="str">
            <v xml:space="preserve"> - </v>
          </cell>
          <cell r="T401">
            <v>0</v>
          </cell>
        </row>
        <row r="402">
          <cell r="S402" t="str">
            <v xml:space="preserve"> - </v>
          </cell>
          <cell r="T402">
            <v>0</v>
          </cell>
        </row>
        <row r="403">
          <cell r="S403" t="str">
            <v xml:space="preserve"> - </v>
          </cell>
          <cell r="T403">
            <v>0</v>
          </cell>
        </row>
        <row r="404">
          <cell r="S404" t="str">
            <v xml:space="preserve">YTSHT053 - </v>
          </cell>
          <cell r="T404">
            <v>12</v>
          </cell>
        </row>
        <row r="405">
          <cell r="S405" t="str">
            <v xml:space="preserve"> - </v>
          </cell>
          <cell r="T405">
            <v>0</v>
          </cell>
        </row>
        <row r="406">
          <cell r="S406" t="str">
            <v xml:space="preserve"> - </v>
          </cell>
          <cell r="T406">
            <v>0</v>
          </cell>
        </row>
        <row r="407">
          <cell r="S407" t="str">
            <v xml:space="preserve"> - </v>
          </cell>
          <cell r="T407">
            <v>0</v>
          </cell>
        </row>
        <row r="408">
          <cell r="S408" t="str">
            <v xml:space="preserve"> - </v>
          </cell>
          <cell r="T408">
            <v>0</v>
          </cell>
        </row>
        <row r="409">
          <cell r="S409" t="str">
            <v xml:space="preserve"> - </v>
          </cell>
          <cell r="T409">
            <v>0</v>
          </cell>
        </row>
        <row r="410">
          <cell r="S410" t="str">
            <v xml:space="preserve"> - </v>
          </cell>
          <cell r="T410">
            <v>0</v>
          </cell>
        </row>
        <row r="411">
          <cell r="S411" t="str">
            <v xml:space="preserve"> - </v>
          </cell>
          <cell r="T411">
            <v>0</v>
          </cell>
        </row>
        <row r="412">
          <cell r="S412" t="str">
            <v xml:space="preserve">YTSHT111 - </v>
          </cell>
          <cell r="T412">
            <v>24</v>
          </cell>
        </row>
        <row r="413">
          <cell r="S413" t="str">
            <v xml:space="preserve"> - </v>
          </cell>
          <cell r="T413">
            <v>0</v>
          </cell>
        </row>
        <row r="414">
          <cell r="S414" t="str">
            <v xml:space="preserve"> - </v>
          </cell>
          <cell r="T414">
            <v>0</v>
          </cell>
        </row>
        <row r="415">
          <cell r="S415" t="str">
            <v xml:space="preserve"> - </v>
          </cell>
          <cell r="T415">
            <v>0</v>
          </cell>
        </row>
        <row r="416">
          <cell r="S416" t="str">
            <v xml:space="preserve"> - </v>
          </cell>
          <cell r="T416">
            <v>0</v>
          </cell>
        </row>
        <row r="417">
          <cell r="S417" t="str">
            <v xml:space="preserve"> - </v>
          </cell>
          <cell r="T417">
            <v>0</v>
          </cell>
        </row>
        <row r="418">
          <cell r="S418" t="str">
            <v xml:space="preserve"> - </v>
          </cell>
          <cell r="T418">
            <v>0</v>
          </cell>
        </row>
        <row r="419">
          <cell r="S419" t="str">
            <v xml:space="preserve"> - </v>
          </cell>
          <cell r="T419">
            <v>0</v>
          </cell>
        </row>
        <row r="420">
          <cell r="S420" t="str">
            <v xml:space="preserve"> - </v>
          </cell>
          <cell r="T420">
            <v>0</v>
          </cell>
        </row>
        <row r="421">
          <cell r="S421" t="str">
            <v xml:space="preserve"> - </v>
          </cell>
          <cell r="T421">
            <v>0</v>
          </cell>
        </row>
        <row r="422">
          <cell r="S422" t="str">
            <v xml:space="preserve"> - </v>
          </cell>
          <cell r="T422">
            <v>0</v>
          </cell>
        </row>
        <row r="423">
          <cell r="S423" t="str">
            <v xml:space="preserve"> - </v>
          </cell>
          <cell r="T423">
            <v>0</v>
          </cell>
        </row>
        <row r="424">
          <cell r="S424" t="str">
            <v xml:space="preserve"> - </v>
          </cell>
          <cell r="T424">
            <v>0</v>
          </cell>
        </row>
        <row r="425">
          <cell r="S425" t="str">
            <v xml:space="preserve">YTSGR016 - </v>
          </cell>
          <cell r="T425">
            <v>1</v>
          </cell>
        </row>
        <row r="426">
          <cell r="S426" t="str">
            <v xml:space="preserve"> - </v>
          </cell>
          <cell r="T426">
            <v>0</v>
          </cell>
        </row>
        <row r="427">
          <cell r="S427" t="str">
            <v xml:space="preserve">YTSHT033 - </v>
          </cell>
          <cell r="T427">
            <v>1</v>
          </cell>
        </row>
        <row r="428">
          <cell r="S428" t="str">
            <v xml:space="preserve"> - </v>
          </cell>
          <cell r="T428">
            <v>0</v>
          </cell>
        </row>
        <row r="429">
          <cell r="S429" t="str">
            <v xml:space="preserve">YTSHT045 - </v>
          </cell>
          <cell r="T429">
            <v>1</v>
          </cell>
        </row>
        <row r="430">
          <cell r="S430" t="str">
            <v xml:space="preserve">YTSHT057 - </v>
          </cell>
          <cell r="T430">
            <v>1</v>
          </cell>
        </row>
        <row r="431">
          <cell r="S431" t="str">
            <v xml:space="preserve">YTSHT058 - </v>
          </cell>
          <cell r="T431">
            <v>1</v>
          </cell>
        </row>
        <row r="432">
          <cell r="S432" t="str">
            <v xml:space="preserve"> - </v>
          </cell>
          <cell r="T432">
            <v>0</v>
          </cell>
        </row>
        <row r="433">
          <cell r="S433" t="str">
            <v xml:space="preserve">YTSHT065 - </v>
          </cell>
          <cell r="T433">
            <v>1</v>
          </cell>
        </row>
        <row r="434">
          <cell r="S434" t="str">
            <v xml:space="preserve">YTSHT080 - </v>
          </cell>
          <cell r="T434">
            <v>1</v>
          </cell>
        </row>
        <row r="435">
          <cell r="S435" t="str">
            <v xml:space="preserve"> - </v>
          </cell>
          <cell r="T435">
            <v>0</v>
          </cell>
        </row>
        <row r="436">
          <cell r="S436" t="str">
            <v xml:space="preserve">YTSHT090 - </v>
          </cell>
          <cell r="T436">
            <v>1</v>
          </cell>
        </row>
        <row r="437">
          <cell r="S437" t="str">
            <v xml:space="preserve">YTSHT093 - </v>
          </cell>
          <cell r="T437">
            <v>1</v>
          </cell>
        </row>
        <row r="438">
          <cell r="S438" t="str">
            <v xml:space="preserve"> - </v>
          </cell>
          <cell r="T438">
            <v>0</v>
          </cell>
        </row>
        <row r="439">
          <cell r="S439" t="str">
            <v xml:space="preserve">YTSHT108 - </v>
          </cell>
          <cell r="T439">
            <v>1</v>
          </cell>
        </row>
        <row r="440">
          <cell r="S440" t="str">
            <v xml:space="preserve"> - </v>
          </cell>
          <cell r="T440">
            <v>0</v>
          </cell>
        </row>
        <row r="441">
          <cell r="S441" t="str">
            <v xml:space="preserve">YTSRD011 - </v>
          </cell>
          <cell r="T441">
            <v>1</v>
          </cell>
        </row>
        <row r="442">
          <cell r="S442" t="str">
            <v xml:space="preserve">YTSHT001 - </v>
          </cell>
          <cell r="T442">
            <v>12</v>
          </cell>
        </row>
        <row r="443">
          <cell r="S443" t="str">
            <v xml:space="preserve"> - </v>
          </cell>
          <cell r="T443">
            <v>0</v>
          </cell>
        </row>
        <row r="444">
          <cell r="S444" t="str">
            <v xml:space="preserve"> - </v>
          </cell>
          <cell r="T444">
            <v>0</v>
          </cell>
        </row>
        <row r="445">
          <cell r="S445" t="str">
            <v xml:space="preserve"> - </v>
          </cell>
          <cell r="T445">
            <v>0</v>
          </cell>
        </row>
        <row r="446">
          <cell r="S446" t="str">
            <v xml:space="preserve"> - </v>
          </cell>
          <cell r="T446">
            <v>0</v>
          </cell>
        </row>
        <row r="447">
          <cell r="S447" t="str">
            <v xml:space="preserve">YTSHT065 - </v>
          </cell>
          <cell r="T447">
            <v>14</v>
          </cell>
        </row>
        <row r="448">
          <cell r="S448" t="str">
            <v xml:space="preserve"> - </v>
          </cell>
          <cell r="T448">
            <v>0</v>
          </cell>
        </row>
        <row r="449">
          <cell r="S449" t="str">
            <v xml:space="preserve"> - </v>
          </cell>
          <cell r="T449">
            <v>0</v>
          </cell>
        </row>
        <row r="450">
          <cell r="S450" t="str">
            <v xml:space="preserve"> - </v>
          </cell>
          <cell r="T450">
            <v>0</v>
          </cell>
        </row>
        <row r="451">
          <cell r="S451" t="str">
            <v xml:space="preserve"> - </v>
          </cell>
          <cell r="T451">
            <v>0</v>
          </cell>
        </row>
        <row r="452">
          <cell r="S452" t="str">
            <v xml:space="preserve"> - </v>
          </cell>
          <cell r="T452">
            <v>0</v>
          </cell>
        </row>
        <row r="453">
          <cell r="S453" t="str">
            <v xml:space="preserve">YTSHT083 - </v>
          </cell>
          <cell r="T453">
            <v>18</v>
          </cell>
        </row>
        <row r="454">
          <cell r="S454" t="str">
            <v xml:space="preserve"> - </v>
          </cell>
          <cell r="T454">
            <v>0</v>
          </cell>
        </row>
        <row r="455">
          <cell r="S455" t="str">
            <v xml:space="preserve"> - </v>
          </cell>
          <cell r="T455">
            <v>0</v>
          </cell>
        </row>
        <row r="456">
          <cell r="S456" t="str">
            <v xml:space="preserve"> - </v>
          </cell>
          <cell r="T456">
            <v>0</v>
          </cell>
        </row>
        <row r="457">
          <cell r="S457" t="str">
            <v xml:space="preserve"> - </v>
          </cell>
          <cell r="T457">
            <v>0</v>
          </cell>
        </row>
        <row r="458">
          <cell r="S458" t="str">
            <v xml:space="preserve"> - </v>
          </cell>
          <cell r="T458">
            <v>0</v>
          </cell>
        </row>
        <row r="459">
          <cell r="S459" t="str">
            <v xml:space="preserve">YTSDZ026 - </v>
          </cell>
          <cell r="T459">
            <v>24</v>
          </cell>
        </row>
        <row r="460">
          <cell r="S460" t="str">
            <v xml:space="preserve"> - </v>
          </cell>
          <cell r="T460">
            <v>0</v>
          </cell>
        </row>
        <row r="461">
          <cell r="S461" t="str">
            <v xml:space="preserve"> - </v>
          </cell>
          <cell r="T461">
            <v>0</v>
          </cell>
        </row>
        <row r="462">
          <cell r="S462" t="str">
            <v xml:space="preserve"> - </v>
          </cell>
          <cell r="T462">
            <v>0</v>
          </cell>
        </row>
        <row r="463">
          <cell r="S463" t="str">
            <v xml:space="preserve"> - </v>
          </cell>
          <cell r="T463">
            <v>0</v>
          </cell>
        </row>
        <row r="464">
          <cell r="S464" t="str">
            <v xml:space="preserve"> - </v>
          </cell>
          <cell r="T464">
            <v>0</v>
          </cell>
        </row>
        <row r="465">
          <cell r="S465" t="str">
            <v xml:space="preserve"> - </v>
          </cell>
          <cell r="T465">
            <v>0</v>
          </cell>
        </row>
        <row r="466">
          <cell r="S466" t="str">
            <v xml:space="preserve"> - </v>
          </cell>
          <cell r="T466">
            <v>0</v>
          </cell>
        </row>
        <row r="467">
          <cell r="S467" t="str">
            <v xml:space="preserve"> - </v>
          </cell>
          <cell r="T467">
            <v>0</v>
          </cell>
        </row>
        <row r="468">
          <cell r="S468" t="str">
            <v xml:space="preserve">YTSHT090 - </v>
          </cell>
          <cell r="T468">
            <v>50</v>
          </cell>
        </row>
        <row r="469">
          <cell r="S469" t="str">
            <v xml:space="preserve"> - </v>
          </cell>
          <cell r="T469">
            <v>0</v>
          </cell>
        </row>
        <row r="470">
          <cell r="S470" t="str">
            <v xml:space="preserve"> - </v>
          </cell>
          <cell r="T470">
            <v>0</v>
          </cell>
        </row>
        <row r="471">
          <cell r="S471" t="str">
            <v xml:space="preserve"> - </v>
          </cell>
          <cell r="T471">
            <v>0</v>
          </cell>
        </row>
        <row r="472">
          <cell r="S472" t="str">
            <v xml:space="preserve"> - </v>
          </cell>
          <cell r="T472">
            <v>0</v>
          </cell>
        </row>
        <row r="473">
          <cell r="S473" t="str">
            <v xml:space="preserve"> - </v>
          </cell>
          <cell r="T473">
            <v>0</v>
          </cell>
        </row>
        <row r="474">
          <cell r="S474" t="str">
            <v xml:space="preserve"> - </v>
          </cell>
          <cell r="T474">
            <v>0</v>
          </cell>
        </row>
        <row r="475">
          <cell r="S475" t="str">
            <v xml:space="preserve"> - </v>
          </cell>
          <cell r="T475">
            <v>0</v>
          </cell>
        </row>
        <row r="476">
          <cell r="S476" t="str">
            <v xml:space="preserve"> - </v>
          </cell>
          <cell r="T476">
            <v>0</v>
          </cell>
        </row>
        <row r="477">
          <cell r="S477" t="str">
            <v xml:space="preserve"> - </v>
          </cell>
          <cell r="T477">
            <v>0</v>
          </cell>
        </row>
        <row r="478">
          <cell r="S478" t="str">
            <v xml:space="preserve"> - </v>
          </cell>
          <cell r="T478">
            <v>0</v>
          </cell>
        </row>
        <row r="479">
          <cell r="S479" t="str">
            <v xml:space="preserve"> - </v>
          </cell>
          <cell r="T479">
            <v>0</v>
          </cell>
        </row>
        <row r="480">
          <cell r="S480" t="str">
            <v xml:space="preserve">YTSHT076 - </v>
          </cell>
          <cell r="T480">
            <v>72</v>
          </cell>
        </row>
        <row r="481">
          <cell r="S481" t="str">
            <v xml:space="preserve"> - </v>
          </cell>
          <cell r="T481">
            <v>0</v>
          </cell>
        </row>
        <row r="482">
          <cell r="S482" t="str">
            <v xml:space="preserve"> - </v>
          </cell>
          <cell r="T482">
            <v>0</v>
          </cell>
        </row>
        <row r="483">
          <cell r="S483" t="str">
            <v xml:space="preserve"> - </v>
          </cell>
          <cell r="T483">
            <v>0</v>
          </cell>
        </row>
        <row r="484">
          <cell r="S484" t="str">
            <v xml:space="preserve"> - </v>
          </cell>
          <cell r="T484">
            <v>0</v>
          </cell>
        </row>
        <row r="485">
          <cell r="S485" t="str">
            <v xml:space="preserve"> - </v>
          </cell>
          <cell r="T485">
            <v>0</v>
          </cell>
        </row>
        <row r="486">
          <cell r="S486" t="str">
            <v xml:space="preserve"> - </v>
          </cell>
          <cell r="T486">
            <v>0</v>
          </cell>
        </row>
        <row r="487">
          <cell r="S487" t="str">
            <v xml:space="preserve"> - </v>
          </cell>
          <cell r="T487">
            <v>0</v>
          </cell>
        </row>
        <row r="488">
          <cell r="S488" t="str">
            <v xml:space="preserve"> - </v>
          </cell>
          <cell r="T488">
            <v>0</v>
          </cell>
        </row>
        <row r="489">
          <cell r="S489" t="str">
            <v xml:space="preserve"> - </v>
          </cell>
          <cell r="T489">
            <v>0</v>
          </cell>
        </row>
        <row r="490">
          <cell r="S490" t="str">
            <v xml:space="preserve"> - </v>
          </cell>
          <cell r="T490">
            <v>0</v>
          </cell>
        </row>
        <row r="491">
          <cell r="S491" t="str">
            <v xml:space="preserve"> - </v>
          </cell>
          <cell r="T491">
            <v>0</v>
          </cell>
        </row>
        <row r="492">
          <cell r="S492" t="str">
            <v xml:space="preserve"> - </v>
          </cell>
          <cell r="T492">
            <v>0</v>
          </cell>
        </row>
        <row r="493">
          <cell r="S493" t="str">
            <v xml:space="preserve"> - </v>
          </cell>
          <cell r="T493">
            <v>0</v>
          </cell>
        </row>
        <row r="494">
          <cell r="S494" t="str">
            <v xml:space="preserve"> - </v>
          </cell>
          <cell r="T494">
            <v>0</v>
          </cell>
        </row>
        <row r="495">
          <cell r="S495" t="str">
            <v xml:space="preserve"> - </v>
          </cell>
          <cell r="T495">
            <v>0</v>
          </cell>
        </row>
        <row r="496">
          <cell r="S496" t="str">
            <v xml:space="preserve"> - </v>
          </cell>
          <cell r="T496">
            <v>0</v>
          </cell>
        </row>
        <row r="497">
          <cell r="S497" t="str">
            <v xml:space="preserve"> - </v>
          </cell>
          <cell r="T497">
            <v>0</v>
          </cell>
        </row>
        <row r="498">
          <cell r="S498" t="str">
            <v xml:space="preserve"> - </v>
          </cell>
          <cell r="T498">
            <v>0</v>
          </cell>
        </row>
        <row r="499">
          <cell r="S499" t="str">
            <v xml:space="preserve">YTSHT054 - </v>
          </cell>
          <cell r="T499">
            <v>12</v>
          </cell>
        </row>
        <row r="500">
          <cell r="S500" t="str">
            <v xml:space="preserve"> - </v>
          </cell>
          <cell r="T500">
            <v>0</v>
          </cell>
        </row>
        <row r="501">
          <cell r="S501" t="str">
            <v xml:space="preserve"> - </v>
          </cell>
          <cell r="T501">
            <v>0</v>
          </cell>
        </row>
        <row r="502">
          <cell r="S502" t="str">
            <v xml:space="preserve"> - </v>
          </cell>
          <cell r="T502">
            <v>0</v>
          </cell>
        </row>
        <row r="503">
          <cell r="S503" t="str">
            <v xml:space="preserve"> - </v>
          </cell>
          <cell r="T503">
            <v>0</v>
          </cell>
        </row>
        <row r="504">
          <cell r="S504" t="str">
            <v xml:space="preserve"> - </v>
          </cell>
          <cell r="T504">
            <v>0</v>
          </cell>
        </row>
        <row r="505">
          <cell r="S505" t="str">
            <v xml:space="preserve">YTSHT117 - </v>
          </cell>
          <cell r="T505">
            <v>12</v>
          </cell>
        </row>
        <row r="506">
          <cell r="S506" t="str">
            <v xml:space="preserve"> - </v>
          </cell>
          <cell r="T506">
            <v>0</v>
          </cell>
        </row>
        <row r="507">
          <cell r="S507" t="str">
            <v xml:space="preserve"> - </v>
          </cell>
          <cell r="T507">
            <v>0</v>
          </cell>
        </row>
        <row r="508">
          <cell r="S508" t="str">
            <v xml:space="preserve"> - </v>
          </cell>
          <cell r="T508">
            <v>0</v>
          </cell>
        </row>
        <row r="509">
          <cell r="S509" t="str">
            <v xml:space="preserve"> - </v>
          </cell>
          <cell r="T509">
            <v>0</v>
          </cell>
        </row>
        <row r="510">
          <cell r="S510" t="str">
            <v xml:space="preserve"> - </v>
          </cell>
          <cell r="T510">
            <v>0</v>
          </cell>
        </row>
        <row r="511">
          <cell r="S511" t="str">
            <v xml:space="preserve"> - </v>
          </cell>
          <cell r="T511">
            <v>0</v>
          </cell>
        </row>
        <row r="512">
          <cell r="S512" t="str">
            <v xml:space="preserve">YTSDZ024 - </v>
          </cell>
          <cell r="T512">
            <v>1</v>
          </cell>
        </row>
        <row r="513">
          <cell r="S513" t="str">
            <v xml:space="preserve">YTSHT038 - </v>
          </cell>
          <cell r="T513">
            <v>1</v>
          </cell>
        </row>
        <row r="514">
          <cell r="S514" t="str">
            <v xml:space="preserve"> - </v>
          </cell>
          <cell r="T514">
            <v>0</v>
          </cell>
        </row>
        <row r="515">
          <cell r="S515" t="str">
            <v xml:space="preserve">YTSHT047 - </v>
          </cell>
          <cell r="T515">
            <v>1</v>
          </cell>
        </row>
        <row r="516">
          <cell r="S516" t="str">
            <v xml:space="preserve"> - </v>
          </cell>
          <cell r="T516">
            <v>0</v>
          </cell>
        </row>
        <row r="517">
          <cell r="S517" t="str">
            <v xml:space="preserve">YTSHT055 - </v>
          </cell>
          <cell r="T517">
            <v>1</v>
          </cell>
        </row>
        <row r="518">
          <cell r="S518" t="str">
            <v xml:space="preserve"> - </v>
          </cell>
          <cell r="T518">
            <v>0</v>
          </cell>
        </row>
        <row r="519">
          <cell r="S519" t="str">
            <v xml:space="preserve">YTSHT068 - </v>
          </cell>
          <cell r="T519">
            <v>1</v>
          </cell>
        </row>
        <row r="520">
          <cell r="S520" t="str">
            <v xml:space="preserve">YTSHT078 - </v>
          </cell>
          <cell r="T520">
            <v>1</v>
          </cell>
        </row>
        <row r="521">
          <cell r="S521" t="str">
            <v xml:space="preserve"> - </v>
          </cell>
          <cell r="T521">
            <v>0</v>
          </cell>
        </row>
        <row r="522">
          <cell r="S522" t="str">
            <v xml:space="preserve">YTSHT082 - </v>
          </cell>
          <cell r="T522">
            <v>1</v>
          </cell>
        </row>
        <row r="523">
          <cell r="S523" t="str">
            <v xml:space="preserve">YTSHT087 - </v>
          </cell>
          <cell r="T523">
            <v>1</v>
          </cell>
        </row>
        <row r="524">
          <cell r="S524" t="str">
            <v xml:space="preserve">YTSHT095 - </v>
          </cell>
          <cell r="T524">
            <v>1</v>
          </cell>
        </row>
        <row r="525">
          <cell r="S525" t="str">
            <v xml:space="preserve">YTSRD010 - </v>
          </cell>
          <cell r="T525">
            <v>1</v>
          </cell>
        </row>
        <row r="526">
          <cell r="S526" t="str">
            <v>YTSEX802 - W22</v>
          </cell>
          <cell r="T526">
            <v>12</v>
          </cell>
        </row>
        <row r="527">
          <cell r="S527" t="str">
            <v xml:space="preserve"> - </v>
          </cell>
          <cell r="T527">
            <v>0</v>
          </cell>
        </row>
        <row r="528">
          <cell r="S528" t="str">
            <v xml:space="preserve"> - </v>
          </cell>
          <cell r="T528">
            <v>0</v>
          </cell>
        </row>
        <row r="529">
          <cell r="S529" t="str">
            <v xml:space="preserve"> - </v>
          </cell>
          <cell r="T529">
            <v>0</v>
          </cell>
        </row>
        <row r="530">
          <cell r="S530" t="str">
            <v xml:space="preserve"> - </v>
          </cell>
          <cell r="T530">
            <v>0</v>
          </cell>
        </row>
        <row r="531">
          <cell r="S531" t="str">
            <v>YTSHT023 - W22</v>
          </cell>
          <cell r="T531">
            <v>12</v>
          </cell>
        </row>
        <row r="532">
          <cell r="S532" t="str">
            <v xml:space="preserve"> - </v>
          </cell>
          <cell r="T532">
            <v>0</v>
          </cell>
        </row>
        <row r="533">
          <cell r="S533" t="str">
            <v xml:space="preserve"> - </v>
          </cell>
          <cell r="T533">
            <v>0</v>
          </cell>
        </row>
        <row r="534">
          <cell r="S534" t="str">
            <v xml:space="preserve"> - </v>
          </cell>
          <cell r="T534">
            <v>0</v>
          </cell>
        </row>
        <row r="535">
          <cell r="S535" t="str">
            <v xml:space="preserve"> - </v>
          </cell>
          <cell r="T535">
            <v>0</v>
          </cell>
        </row>
        <row r="536">
          <cell r="S536" t="str">
            <v xml:space="preserve"> - </v>
          </cell>
          <cell r="T536">
            <v>0</v>
          </cell>
        </row>
        <row r="537">
          <cell r="S537" t="str">
            <v>YTSHT114 - W22</v>
          </cell>
          <cell r="T537">
            <v>12</v>
          </cell>
        </row>
        <row r="538">
          <cell r="S538" t="str">
            <v xml:space="preserve"> - </v>
          </cell>
          <cell r="T538">
            <v>0</v>
          </cell>
        </row>
        <row r="539">
          <cell r="S539" t="str">
            <v xml:space="preserve"> - </v>
          </cell>
          <cell r="T539">
            <v>0</v>
          </cell>
        </row>
        <row r="540">
          <cell r="S540" t="str">
            <v xml:space="preserve"> - </v>
          </cell>
          <cell r="T540">
            <v>0</v>
          </cell>
        </row>
        <row r="541">
          <cell r="S541" t="str">
            <v xml:space="preserve"> - </v>
          </cell>
          <cell r="T541">
            <v>0</v>
          </cell>
        </row>
        <row r="542">
          <cell r="S542" t="str">
            <v xml:space="preserve"> - </v>
          </cell>
          <cell r="T542">
            <v>0</v>
          </cell>
        </row>
        <row r="543">
          <cell r="S543" t="str">
            <v xml:space="preserve"> - </v>
          </cell>
          <cell r="T543">
            <v>0</v>
          </cell>
        </row>
        <row r="544">
          <cell r="S544" t="str">
            <v xml:space="preserve"> - </v>
          </cell>
          <cell r="T544">
            <v>0</v>
          </cell>
        </row>
        <row r="545">
          <cell r="S545" t="str">
            <v xml:space="preserve"> - </v>
          </cell>
          <cell r="T545">
            <v>0</v>
          </cell>
        </row>
        <row r="546">
          <cell r="S546" t="str">
            <v xml:space="preserve"> - </v>
          </cell>
          <cell r="T546">
            <v>0</v>
          </cell>
        </row>
        <row r="547">
          <cell r="S547" t="str">
            <v>YTSHT041 - W22</v>
          </cell>
          <cell r="T547">
            <v>12</v>
          </cell>
        </row>
        <row r="548">
          <cell r="S548" t="str">
            <v xml:space="preserve"> - </v>
          </cell>
          <cell r="T548">
            <v>0</v>
          </cell>
        </row>
        <row r="549">
          <cell r="S549" t="str">
            <v xml:space="preserve"> - </v>
          </cell>
          <cell r="T549">
            <v>0</v>
          </cell>
        </row>
        <row r="550">
          <cell r="S550" t="str">
            <v xml:space="preserve"> - </v>
          </cell>
          <cell r="T550">
            <v>0</v>
          </cell>
        </row>
        <row r="551">
          <cell r="S551" t="str">
            <v xml:space="preserve"> - </v>
          </cell>
          <cell r="T551">
            <v>0</v>
          </cell>
        </row>
        <row r="552">
          <cell r="S552" t="str">
            <v xml:space="preserve"> - </v>
          </cell>
          <cell r="T552">
            <v>0</v>
          </cell>
        </row>
        <row r="553">
          <cell r="S553" t="str">
            <v xml:space="preserve"> - </v>
          </cell>
          <cell r="T553">
            <v>0</v>
          </cell>
        </row>
        <row r="554">
          <cell r="S554" t="str">
            <v>YTSHT112 - W22</v>
          </cell>
          <cell r="T554">
            <v>12</v>
          </cell>
        </row>
        <row r="555">
          <cell r="S555" t="str">
            <v xml:space="preserve"> - </v>
          </cell>
          <cell r="T555">
            <v>0</v>
          </cell>
        </row>
        <row r="556">
          <cell r="S556" t="str">
            <v xml:space="preserve"> - </v>
          </cell>
          <cell r="T556">
            <v>0</v>
          </cell>
        </row>
        <row r="557">
          <cell r="S557" t="str">
            <v xml:space="preserve"> - </v>
          </cell>
          <cell r="T557">
            <v>0</v>
          </cell>
        </row>
        <row r="558">
          <cell r="S558" t="str">
            <v xml:space="preserve"> - </v>
          </cell>
          <cell r="T558">
            <v>0</v>
          </cell>
        </row>
        <row r="559">
          <cell r="S559" t="str">
            <v xml:space="preserve"> - </v>
          </cell>
          <cell r="T559">
            <v>0</v>
          </cell>
        </row>
        <row r="560">
          <cell r="S560" t="str">
            <v xml:space="preserve"> - </v>
          </cell>
          <cell r="T560">
            <v>0</v>
          </cell>
        </row>
        <row r="561">
          <cell r="S561" t="str">
            <v xml:space="preserve"> - </v>
          </cell>
          <cell r="T561">
            <v>0</v>
          </cell>
        </row>
        <row r="562">
          <cell r="S562" t="str">
            <v xml:space="preserve"> - </v>
          </cell>
          <cell r="T562">
            <v>0</v>
          </cell>
        </row>
        <row r="563">
          <cell r="S563" t="str">
            <v>YTSHT093 - W22</v>
          </cell>
          <cell r="T563">
            <v>12</v>
          </cell>
        </row>
        <row r="564">
          <cell r="S564" t="str">
            <v xml:space="preserve"> - </v>
          </cell>
          <cell r="T564">
            <v>0</v>
          </cell>
        </row>
        <row r="565">
          <cell r="S565" t="str">
            <v xml:space="preserve"> - </v>
          </cell>
          <cell r="T565">
            <v>0</v>
          </cell>
        </row>
        <row r="566">
          <cell r="S566" t="str">
            <v xml:space="preserve"> - </v>
          </cell>
          <cell r="T566">
            <v>0</v>
          </cell>
        </row>
        <row r="567">
          <cell r="S567" t="str">
            <v xml:space="preserve"> - </v>
          </cell>
          <cell r="T567">
            <v>0</v>
          </cell>
        </row>
        <row r="568">
          <cell r="S568" t="str">
            <v>YTSHT118 - W22</v>
          </cell>
          <cell r="T568">
            <v>12</v>
          </cell>
        </row>
        <row r="569">
          <cell r="S569" t="str">
            <v xml:space="preserve"> - </v>
          </cell>
          <cell r="T569">
            <v>0</v>
          </cell>
        </row>
        <row r="570">
          <cell r="S570" t="str">
            <v xml:space="preserve"> - </v>
          </cell>
          <cell r="T570">
            <v>0</v>
          </cell>
        </row>
        <row r="571">
          <cell r="S571" t="str">
            <v xml:space="preserve"> - </v>
          </cell>
          <cell r="T571">
            <v>0</v>
          </cell>
        </row>
        <row r="572">
          <cell r="S572" t="str">
            <v xml:space="preserve"> - </v>
          </cell>
          <cell r="T572">
            <v>0</v>
          </cell>
        </row>
        <row r="573">
          <cell r="S573" t="str">
            <v xml:space="preserve"> - </v>
          </cell>
          <cell r="T573">
            <v>0</v>
          </cell>
        </row>
        <row r="574">
          <cell r="S574" t="str">
            <v xml:space="preserve"> - </v>
          </cell>
          <cell r="T574">
            <v>0</v>
          </cell>
        </row>
        <row r="575">
          <cell r="S575" t="str">
            <v xml:space="preserve"> - </v>
          </cell>
          <cell r="T575">
            <v>0</v>
          </cell>
        </row>
        <row r="576">
          <cell r="S576" t="str">
            <v>YTSDZ016 - W22</v>
          </cell>
          <cell r="T576">
            <v>16</v>
          </cell>
        </row>
        <row r="577">
          <cell r="S577" t="str">
            <v xml:space="preserve"> - </v>
          </cell>
          <cell r="T577">
            <v>0</v>
          </cell>
        </row>
        <row r="578">
          <cell r="S578" t="str">
            <v xml:space="preserve"> - </v>
          </cell>
          <cell r="T578">
            <v>0</v>
          </cell>
        </row>
        <row r="579">
          <cell r="S579" t="str">
            <v xml:space="preserve"> - </v>
          </cell>
          <cell r="T579">
            <v>0</v>
          </cell>
        </row>
        <row r="580">
          <cell r="S580" t="str">
            <v xml:space="preserve"> - </v>
          </cell>
          <cell r="T580">
            <v>0</v>
          </cell>
        </row>
        <row r="581">
          <cell r="S581" t="str">
            <v xml:space="preserve"> - </v>
          </cell>
          <cell r="T581">
            <v>0</v>
          </cell>
        </row>
        <row r="582">
          <cell r="S582" t="str">
            <v xml:space="preserve"> - </v>
          </cell>
          <cell r="T582">
            <v>0</v>
          </cell>
        </row>
        <row r="583">
          <cell r="S583" t="str">
            <v xml:space="preserve"> - </v>
          </cell>
          <cell r="T583">
            <v>0</v>
          </cell>
        </row>
        <row r="584">
          <cell r="S584" t="str">
            <v xml:space="preserve"> - </v>
          </cell>
          <cell r="T584">
            <v>0</v>
          </cell>
        </row>
        <row r="585">
          <cell r="S585" t="str">
            <v xml:space="preserve"> - </v>
          </cell>
          <cell r="T585">
            <v>0</v>
          </cell>
        </row>
        <row r="586">
          <cell r="S586" t="str">
            <v xml:space="preserve"> - </v>
          </cell>
          <cell r="T586">
            <v>0</v>
          </cell>
        </row>
        <row r="587">
          <cell r="S587" t="str">
            <v xml:space="preserve"> - </v>
          </cell>
          <cell r="T587">
            <v>0</v>
          </cell>
        </row>
        <row r="588">
          <cell r="S588" t="str">
            <v>YTSHT033 - W22</v>
          </cell>
          <cell r="T588">
            <v>12</v>
          </cell>
        </row>
        <row r="589">
          <cell r="S589" t="str">
            <v xml:space="preserve"> - </v>
          </cell>
          <cell r="T589">
            <v>0</v>
          </cell>
        </row>
        <row r="590">
          <cell r="S590" t="str">
            <v xml:space="preserve"> - </v>
          </cell>
          <cell r="T590">
            <v>0</v>
          </cell>
        </row>
        <row r="591">
          <cell r="S591" t="str">
            <v xml:space="preserve"> - </v>
          </cell>
          <cell r="T591">
            <v>0</v>
          </cell>
        </row>
        <row r="592">
          <cell r="S592" t="str">
            <v xml:space="preserve"> - </v>
          </cell>
          <cell r="T592">
            <v>0</v>
          </cell>
        </row>
        <row r="593">
          <cell r="S593" t="str">
            <v>YTSHT099 - W22</v>
          </cell>
          <cell r="T593">
            <v>12</v>
          </cell>
        </row>
        <row r="594">
          <cell r="S594" t="str">
            <v xml:space="preserve"> - </v>
          </cell>
          <cell r="T594">
            <v>0</v>
          </cell>
        </row>
        <row r="595">
          <cell r="S595" t="str">
            <v xml:space="preserve"> - </v>
          </cell>
          <cell r="T595">
            <v>0</v>
          </cell>
        </row>
        <row r="596">
          <cell r="S596" t="str">
            <v xml:space="preserve"> - </v>
          </cell>
          <cell r="T596">
            <v>0</v>
          </cell>
        </row>
        <row r="597">
          <cell r="S597" t="str">
            <v>YTSGR016 - W22</v>
          </cell>
          <cell r="T597">
            <v>12</v>
          </cell>
        </row>
        <row r="598">
          <cell r="S598" t="str">
            <v xml:space="preserve"> - </v>
          </cell>
          <cell r="T598">
            <v>0</v>
          </cell>
        </row>
        <row r="599">
          <cell r="S599" t="str">
            <v xml:space="preserve"> - </v>
          </cell>
          <cell r="T599">
            <v>0</v>
          </cell>
        </row>
        <row r="600">
          <cell r="S600" t="str">
            <v xml:space="preserve"> - </v>
          </cell>
          <cell r="T600">
            <v>0</v>
          </cell>
        </row>
        <row r="601">
          <cell r="S601" t="str">
            <v xml:space="preserve"> - </v>
          </cell>
          <cell r="T601">
            <v>0</v>
          </cell>
        </row>
        <row r="602">
          <cell r="S602" t="str">
            <v xml:space="preserve"> - </v>
          </cell>
          <cell r="T602">
            <v>0</v>
          </cell>
        </row>
        <row r="603">
          <cell r="S603" t="str">
            <v xml:space="preserve"> - </v>
          </cell>
          <cell r="T603">
            <v>0</v>
          </cell>
        </row>
        <row r="604">
          <cell r="S604" t="str">
            <v xml:space="preserve"> - </v>
          </cell>
          <cell r="T604">
            <v>0</v>
          </cell>
        </row>
        <row r="605">
          <cell r="S605" t="str">
            <v xml:space="preserve"> - </v>
          </cell>
          <cell r="T605">
            <v>0</v>
          </cell>
        </row>
        <row r="606">
          <cell r="S606" t="str">
            <v xml:space="preserve"> - </v>
          </cell>
          <cell r="T606">
            <v>0</v>
          </cell>
        </row>
        <row r="607">
          <cell r="S607" t="str">
            <v>YTSHT017 - W22</v>
          </cell>
          <cell r="T607">
            <v>12</v>
          </cell>
        </row>
        <row r="608">
          <cell r="S608" t="str">
            <v xml:space="preserve"> - </v>
          </cell>
          <cell r="T608">
            <v>0</v>
          </cell>
        </row>
        <row r="609">
          <cell r="S609" t="str">
            <v xml:space="preserve"> - </v>
          </cell>
          <cell r="T609">
            <v>0</v>
          </cell>
        </row>
        <row r="610">
          <cell r="S610" t="str">
            <v xml:space="preserve"> - </v>
          </cell>
          <cell r="T610">
            <v>0</v>
          </cell>
        </row>
        <row r="611">
          <cell r="S611" t="str">
            <v xml:space="preserve"> - </v>
          </cell>
          <cell r="T611">
            <v>0</v>
          </cell>
        </row>
        <row r="612">
          <cell r="S612" t="str">
            <v xml:space="preserve"> - </v>
          </cell>
          <cell r="T612">
            <v>0</v>
          </cell>
        </row>
        <row r="613">
          <cell r="S613" t="str">
            <v xml:space="preserve"> - </v>
          </cell>
          <cell r="T613">
            <v>0</v>
          </cell>
        </row>
        <row r="614">
          <cell r="S614" t="str">
            <v>YTSHT091 - W22</v>
          </cell>
          <cell r="T614">
            <v>12</v>
          </cell>
        </row>
        <row r="615">
          <cell r="S615" t="str">
            <v xml:space="preserve"> - </v>
          </cell>
          <cell r="T615">
            <v>0</v>
          </cell>
        </row>
        <row r="616">
          <cell r="S616" t="str">
            <v xml:space="preserve"> - </v>
          </cell>
          <cell r="T616">
            <v>0</v>
          </cell>
        </row>
        <row r="617">
          <cell r="S617" t="str">
            <v xml:space="preserve"> - </v>
          </cell>
          <cell r="T617">
            <v>0</v>
          </cell>
        </row>
        <row r="618">
          <cell r="S618" t="str">
            <v xml:space="preserve"> - </v>
          </cell>
          <cell r="T618">
            <v>0</v>
          </cell>
        </row>
        <row r="619">
          <cell r="S619" t="str">
            <v>YTSHT047 - W22</v>
          </cell>
          <cell r="T619">
            <v>12</v>
          </cell>
        </row>
        <row r="620">
          <cell r="S620" t="str">
            <v xml:space="preserve"> - </v>
          </cell>
          <cell r="T620">
            <v>0</v>
          </cell>
        </row>
        <row r="621">
          <cell r="S621" t="str">
            <v xml:space="preserve"> - </v>
          </cell>
          <cell r="T621">
            <v>0</v>
          </cell>
        </row>
        <row r="622">
          <cell r="S622" t="str">
            <v xml:space="preserve"> - </v>
          </cell>
          <cell r="T622">
            <v>0</v>
          </cell>
        </row>
        <row r="623">
          <cell r="S623" t="str">
            <v xml:space="preserve"> - </v>
          </cell>
          <cell r="T623">
            <v>0</v>
          </cell>
        </row>
        <row r="624">
          <cell r="S624" t="str">
            <v>YTSHT058 - W22</v>
          </cell>
          <cell r="T624">
            <v>12</v>
          </cell>
        </row>
        <row r="625">
          <cell r="S625" t="str">
            <v xml:space="preserve"> - </v>
          </cell>
          <cell r="T625">
            <v>0</v>
          </cell>
        </row>
        <row r="626">
          <cell r="S626" t="str">
            <v xml:space="preserve"> - </v>
          </cell>
          <cell r="T626">
            <v>0</v>
          </cell>
        </row>
        <row r="627">
          <cell r="S627" t="str">
            <v xml:space="preserve"> - </v>
          </cell>
          <cell r="T627">
            <v>0</v>
          </cell>
        </row>
        <row r="628">
          <cell r="S628" t="str">
            <v xml:space="preserve"> - </v>
          </cell>
          <cell r="T628">
            <v>0</v>
          </cell>
        </row>
        <row r="629">
          <cell r="S629" t="str">
            <v>YTSRD011 - W22</v>
          </cell>
          <cell r="T629">
            <v>12</v>
          </cell>
        </row>
        <row r="630">
          <cell r="S630" t="str">
            <v xml:space="preserve"> - </v>
          </cell>
          <cell r="T630">
            <v>0</v>
          </cell>
        </row>
        <row r="631">
          <cell r="S631" t="str">
            <v xml:space="preserve"> - </v>
          </cell>
          <cell r="T631">
            <v>0</v>
          </cell>
        </row>
        <row r="632">
          <cell r="S632" t="str">
            <v xml:space="preserve"> - </v>
          </cell>
          <cell r="T632">
            <v>0</v>
          </cell>
        </row>
        <row r="633">
          <cell r="S633" t="str">
            <v xml:space="preserve"> - </v>
          </cell>
          <cell r="T633">
            <v>0</v>
          </cell>
        </row>
        <row r="634">
          <cell r="S634" t="str">
            <v xml:space="preserve"> - </v>
          </cell>
          <cell r="T634">
            <v>0</v>
          </cell>
        </row>
        <row r="635">
          <cell r="S635" t="str">
            <v xml:space="preserve"> - </v>
          </cell>
          <cell r="T635">
            <v>0</v>
          </cell>
        </row>
        <row r="636">
          <cell r="S636" t="str">
            <v xml:space="preserve"> - </v>
          </cell>
          <cell r="T636">
            <v>0</v>
          </cell>
        </row>
        <row r="637">
          <cell r="S637" t="str">
            <v xml:space="preserve"> - </v>
          </cell>
          <cell r="T637">
            <v>0</v>
          </cell>
        </row>
        <row r="638">
          <cell r="S638" t="str">
            <v xml:space="preserve"> - </v>
          </cell>
          <cell r="T638">
            <v>0</v>
          </cell>
        </row>
        <row r="639">
          <cell r="S639" t="str">
            <v xml:space="preserve"> - </v>
          </cell>
          <cell r="T639">
            <v>0</v>
          </cell>
        </row>
        <row r="640">
          <cell r="S640" t="str">
            <v>YTSDZ025 - W22</v>
          </cell>
          <cell r="T640">
            <v>12</v>
          </cell>
        </row>
        <row r="641">
          <cell r="S641" t="str">
            <v xml:space="preserve"> - </v>
          </cell>
          <cell r="T641">
            <v>0</v>
          </cell>
        </row>
        <row r="642">
          <cell r="S642" t="str">
            <v xml:space="preserve"> - </v>
          </cell>
          <cell r="T642">
            <v>0</v>
          </cell>
        </row>
        <row r="643">
          <cell r="S643" t="str">
            <v xml:space="preserve"> - </v>
          </cell>
          <cell r="T643">
            <v>0</v>
          </cell>
        </row>
        <row r="644">
          <cell r="S644" t="str">
            <v xml:space="preserve"> - </v>
          </cell>
          <cell r="T644">
            <v>0</v>
          </cell>
        </row>
        <row r="645">
          <cell r="S645" t="str">
            <v xml:space="preserve"> - </v>
          </cell>
          <cell r="T645">
            <v>0</v>
          </cell>
        </row>
        <row r="646">
          <cell r="S646" t="str">
            <v xml:space="preserve"> - </v>
          </cell>
          <cell r="T646">
            <v>0</v>
          </cell>
        </row>
        <row r="647">
          <cell r="S647" t="str">
            <v xml:space="preserve"> - </v>
          </cell>
          <cell r="T647">
            <v>0</v>
          </cell>
        </row>
        <row r="648">
          <cell r="S648" t="str">
            <v>YTSHT016 - W22</v>
          </cell>
          <cell r="T648">
            <v>12</v>
          </cell>
        </row>
        <row r="649">
          <cell r="S649" t="str">
            <v xml:space="preserve"> - </v>
          </cell>
          <cell r="T649">
            <v>0</v>
          </cell>
        </row>
        <row r="650">
          <cell r="S650" t="str">
            <v xml:space="preserve"> - </v>
          </cell>
          <cell r="T650">
            <v>0</v>
          </cell>
        </row>
        <row r="651">
          <cell r="S651" t="str">
            <v xml:space="preserve"> - </v>
          </cell>
          <cell r="T651">
            <v>0</v>
          </cell>
        </row>
        <row r="652">
          <cell r="S652" t="str">
            <v xml:space="preserve"> - </v>
          </cell>
          <cell r="T652">
            <v>0</v>
          </cell>
        </row>
        <row r="653">
          <cell r="S653" t="str">
            <v>YTSHT049 - W22</v>
          </cell>
          <cell r="T653">
            <v>12</v>
          </cell>
        </row>
        <row r="654">
          <cell r="S654" t="str">
            <v xml:space="preserve"> - </v>
          </cell>
          <cell r="T654">
            <v>0</v>
          </cell>
        </row>
        <row r="655">
          <cell r="S655" t="str">
            <v xml:space="preserve"> - </v>
          </cell>
          <cell r="T655">
            <v>0</v>
          </cell>
        </row>
        <row r="656">
          <cell r="S656" t="str">
            <v xml:space="preserve"> - </v>
          </cell>
          <cell r="T656">
            <v>0</v>
          </cell>
        </row>
        <row r="657">
          <cell r="S657" t="str">
            <v xml:space="preserve"> - </v>
          </cell>
          <cell r="T657">
            <v>0</v>
          </cell>
        </row>
        <row r="658">
          <cell r="S658" t="str">
            <v xml:space="preserve"> - </v>
          </cell>
          <cell r="T658">
            <v>0</v>
          </cell>
        </row>
        <row r="659">
          <cell r="S659" t="str">
            <v xml:space="preserve"> - </v>
          </cell>
          <cell r="T659">
            <v>0</v>
          </cell>
        </row>
        <row r="660">
          <cell r="S660" t="str">
            <v xml:space="preserve"> - </v>
          </cell>
          <cell r="T660">
            <v>0</v>
          </cell>
        </row>
        <row r="661">
          <cell r="S661" t="str">
            <v xml:space="preserve"> - </v>
          </cell>
          <cell r="T661">
            <v>0</v>
          </cell>
        </row>
        <row r="662">
          <cell r="S662" t="str">
            <v>YTSHT100 - W22</v>
          </cell>
          <cell r="T662">
            <v>14</v>
          </cell>
        </row>
        <row r="663">
          <cell r="S663" t="str">
            <v xml:space="preserve"> - </v>
          </cell>
          <cell r="T663">
            <v>0</v>
          </cell>
        </row>
        <row r="664">
          <cell r="S664" t="str">
            <v xml:space="preserve"> - </v>
          </cell>
          <cell r="T664">
            <v>0</v>
          </cell>
        </row>
        <row r="665">
          <cell r="S665" t="str">
            <v xml:space="preserve"> - </v>
          </cell>
          <cell r="T665">
            <v>0</v>
          </cell>
        </row>
        <row r="666">
          <cell r="S666" t="str">
            <v xml:space="preserve"> - </v>
          </cell>
          <cell r="T666">
            <v>0</v>
          </cell>
        </row>
        <row r="667">
          <cell r="S667" t="str">
            <v xml:space="preserve"> - </v>
          </cell>
          <cell r="T667">
            <v>0</v>
          </cell>
        </row>
        <row r="668">
          <cell r="S668" t="str">
            <v xml:space="preserve"> - </v>
          </cell>
          <cell r="T668">
            <v>0</v>
          </cell>
        </row>
        <row r="669">
          <cell r="S669" t="str">
            <v>YTSHT038 - W22</v>
          </cell>
          <cell r="T669">
            <v>12</v>
          </cell>
        </row>
        <row r="670">
          <cell r="S670" t="str">
            <v xml:space="preserve"> - </v>
          </cell>
          <cell r="T670">
            <v>0</v>
          </cell>
        </row>
        <row r="671">
          <cell r="S671" t="str">
            <v xml:space="preserve"> - </v>
          </cell>
          <cell r="T671">
            <v>0</v>
          </cell>
        </row>
        <row r="672">
          <cell r="S672" t="str">
            <v xml:space="preserve"> - </v>
          </cell>
          <cell r="T672">
            <v>0</v>
          </cell>
        </row>
        <row r="673">
          <cell r="S673" t="str">
            <v xml:space="preserve"> - </v>
          </cell>
          <cell r="T673">
            <v>0</v>
          </cell>
        </row>
        <row r="674">
          <cell r="S674" t="str">
            <v xml:space="preserve"> - </v>
          </cell>
          <cell r="T674">
            <v>0</v>
          </cell>
        </row>
        <row r="675">
          <cell r="S675" t="str">
            <v xml:space="preserve"> - </v>
          </cell>
          <cell r="T675">
            <v>0</v>
          </cell>
        </row>
        <row r="676">
          <cell r="S676" t="str">
            <v xml:space="preserve"> - </v>
          </cell>
          <cell r="T676">
            <v>0</v>
          </cell>
        </row>
        <row r="677">
          <cell r="S677" t="str">
            <v xml:space="preserve"> - </v>
          </cell>
          <cell r="T677">
            <v>0</v>
          </cell>
        </row>
        <row r="678">
          <cell r="S678" t="str">
            <v xml:space="preserve"> - </v>
          </cell>
          <cell r="T678">
            <v>0</v>
          </cell>
        </row>
        <row r="679">
          <cell r="S679" t="str">
            <v>YTSHT115 - W22</v>
          </cell>
          <cell r="T679">
            <v>12</v>
          </cell>
        </row>
        <row r="680">
          <cell r="S680" t="str">
            <v xml:space="preserve"> - </v>
          </cell>
          <cell r="T680">
            <v>0</v>
          </cell>
        </row>
        <row r="681">
          <cell r="S681" t="str">
            <v xml:space="preserve"> - </v>
          </cell>
          <cell r="T681">
            <v>0</v>
          </cell>
        </row>
        <row r="682">
          <cell r="S682" t="str">
            <v xml:space="preserve"> - </v>
          </cell>
          <cell r="T682">
            <v>0</v>
          </cell>
        </row>
        <row r="683">
          <cell r="S683" t="str">
            <v>YTSRD010 - W22</v>
          </cell>
          <cell r="T683">
            <v>30</v>
          </cell>
        </row>
        <row r="684">
          <cell r="S684" t="str">
            <v xml:space="preserve"> - </v>
          </cell>
          <cell r="T684">
            <v>0</v>
          </cell>
        </row>
        <row r="685">
          <cell r="S685" t="str">
            <v xml:space="preserve"> - </v>
          </cell>
          <cell r="T685">
            <v>0</v>
          </cell>
        </row>
        <row r="686">
          <cell r="S686" t="str">
            <v xml:space="preserve"> - </v>
          </cell>
          <cell r="T686">
            <v>0</v>
          </cell>
        </row>
        <row r="687">
          <cell r="S687" t="str">
            <v xml:space="preserve"> - </v>
          </cell>
          <cell r="T687">
            <v>0</v>
          </cell>
        </row>
        <row r="688">
          <cell r="S688" t="str">
            <v xml:space="preserve"> - </v>
          </cell>
          <cell r="T688">
            <v>0</v>
          </cell>
        </row>
        <row r="689">
          <cell r="S689" t="str">
            <v xml:space="preserve"> - </v>
          </cell>
          <cell r="T689">
            <v>0</v>
          </cell>
        </row>
        <row r="690">
          <cell r="S690" t="str">
            <v xml:space="preserve"> - </v>
          </cell>
          <cell r="T690">
            <v>0</v>
          </cell>
        </row>
        <row r="691">
          <cell r="S691" t="str">
            <v>YTSDZ024 - W22</v>
          </cell>
          <cell r="T691">
            <v>12</v>
          </cell>
        </row>
        <row r="692">
          <cell r="S692" t="str">
            <v xml:space="preserve"> - </v>
          </cell>
          <cell r="T692">
            <v>0</v>
          </cell>
        </row>
        <row r="693">
          <cell r="S693" t="str">
            <v xml:space="preserve"> - </v>
          </cell>
          <cell r="T693">
            <v>0</v>
          </cell>
        </row>
        <row r="694">
          <cell r="S694" t="str">
            <v xml:space="preserve"> - </v>
          </cell>
          <cell r="T694">
            <v>0</v>
          </cell>
        </row>
        <row r="695">
          <cell r="S695" t="str">
            <v xml:space="preserve"> - </v>
          </cell>
          <cell r="T695">
            <v>0</v>
          </cell>
        </row>
        <row r="696">
          <cell r="S696" t="str">
            <v xml:space="preserve"> - </v>
          </cell>
          <cell r="T696">
            <v>0</v>
          </cell>
        </row>
        <row r="697">
          <cell r="S697" t="str">
            <v>YTSHT055 - W22</v>
          </cell>
          <cell r="T697">
            <v>12</v>
          </cell>
        </row>
        <row r="698">
          <cell r="S698" t="str">
            <v xml:space="preserve"> - </v>
          </cell>
          <cell r="T698">
            <v>0</v>
          </cell>
        </row>
        <row r="699">
          <cell r="S699" t="str">
            <v xml:space="preserve"> - </v>
          </cell>
          <cell r="T699">
            <v>0</v>
          </cell>
        </row>
        <row r="700">
          <cell r="S700" t="str">
            <v xml:space="preserve"> - </v>
          </cell>
          <cell r="T700">
            <v>0</v>
          </cell>
        </row>
        <row r="701">
          <cell r="S701" t="str">
            <v xml:space="preserve"> - </v>
          </cell>
          <cell r="T701">
            <v>0</v>
          </cell>
        </row>
        <row r="702">
          <cell r="S702" t="str">
            <v xml:space="preserve"> - </v>
          </cell>
          <cell r="T702">
            <v>0</v>
          </cell>
        </row>
        <row r="703">
          <cell r="S703" t="str">
            <v>YTSHT081 - W22</v>
          </cell>
          <cell r="T703">
            <v>18</v>
          </cell>
        </row>
        <row r="704">
          <cell r="S704" t="str">
            <v xml:space="preserve"> - </v>
          </cell>
          <cell r="T704">
            <v>0</v>
          </cell>
        </row>
        <row r="705">
          <cell r="S705" t="str">
            <v xml:space="preserve"> - </v>
          </cell>
          <cell r="T705">
            <v>0</v>
          </cell>
        </row>
        <row r="706">
          <cell r="S706" t="str">
            <v xml:space="preserve"> - </v>
          </cell>
          <cell r="T706">
            <v>0</v>
          </cell>
        </row>
        <row r="707">
          <cell r="S707" t="str">
            <v xml:space="preserve"> - </v>
          </cell>
          <cell r="T707">
            <v>0</v>
          </cell>
        </row>
        <row r="708">
          <cell r="S708" t="str">
            <v xml:space="preserve"> - </v>
          </cell>
          <cell r="T708">
            <v>0</v>
          </cell>
        </row>
        <row r="709">
          <cell r="S709" t="str">
            <v xml:space="preserve"> - </v>
          </cell>
          <cell r="T709">
            <v>0</v>
          </cell>
        </row>
        <row r="710">
          <cell r="S710" t="str">
            <v xml:space="preserve"> - </v>
          </cell>
          <cell r="T710">
            <v>0</v>
          </cell>
        </row>
        <row r="711">
          <cell r="S711" t="str">
            <v xml:space="preserve"> - </v>
          </cell>
          <cell r="T711">
            <v>0</v>
          </cell>
        </row>
        <row r="712">
          <cell r="S712" t="str">
            <v xml:space="preserve"> - </v>
          </cell>
          <cell r="T712">
            <v>0</v>
          </cell>
        </row>
        <row r="713">
          <cell r="S713" t="str">
            <v xml:space="preserve"> - </v>
          </cell>
          <cell r="T713">
            <v>0</v>
          </cell>
        </row>
        <row r="714">
          <cell r="S714" t="str">
            <v>YTSHT040 - W22</v>
          </cell>
          <cell r="T714">
            <v>12</v>
          </cell>
        </row>
        <row r="715">
          <cell r="S715" t="str">
            <v xml:space="preserve"> - </v>
          </cell>
          <cell r="T715">
            <v>0</v>
          </cell>
        </row>
        <row r="716">
          <cell r="S716" t="str">
            <v xml:space="preserve"> - </v>
          </cell>
          <cell r="T716">
            <v>0</v>
          </cell>
        </row>
        <row r="717">
          <cell r="S717" t="str">
            <v xml:space="preserve"> - </v>
          </cell>
          <cell r="T717">
            <v>0</v>
          </cell>
        </row>
        <row r="718">
          <cell r="S718" t="str">
            <v xml:space="preserve"> - </v>
          </cell>
          <cell r="T718">
            <v>0</v>
          </cell>
        </row>
        <row r="719">
          <cell r="S719" t="str">
            <v xml:space="preserve"> - </v>
          </cell>
          <cell r="T719">
            <v>0</v>
          </cell>
        </row>
        <row r="720">
          <cell r="S720" t="str">
            <v xml:space="preserve"> - </v>
          </cell>
          <cell r="T720">
            <v>0</v>
          </cell>
        </row>
        <row r="721">
          <cell r="S721" t="str">
            <v xml:space="preserve"> - </v>
          </cell>
          <cell r="T721">
            <v>0</v>
          </cell>
        </row>
        <row r="722">
          <cell r="S722" t="str">
            <v xml:space="preserve"> - </v>
          </cell>
          <cell r="T722">
            <v>0</v>
          </cell>
        </row>
        <row r="723">
          <cell r="S723" t="str">
            <v xml:space="preserve"> - </v>
          </cell>
          <cell r="T723">
            <v>0</v>
          </cell>
        </row>
        <row r="724">
          <cell r="S724" t="str">
            <v xml:space="preserve"> - </v>
          </cell>
          <cell r="T724">
            <v>0</v>
          </cell>
        </row>
        <row r="725">
          <cell r="S725" t="str">
            <v>YTSHT080 - W22</v>
          </cell>
          <cell r="T725">
            <v>12</v>
          </cell>
        </row>
        <row r="726">
          <cell r="S726" t="str">
            <v xml:space="preserve"> - </v>
          </cell>
          <cell r="T726">
            <v>0</v>
          </cell>
        </row>
        <row r="727">
          <cell r="S727" t="str">
            <v xml:space="preserve"> - </v>
          </cell>
          <cell r="T727">
            <v>0</v>
          </cell>
        </row>
        <row r="728">
          <cell r="S728" t="str">
            <v xml:space="preserve"> - </v>
          </cell>
          <cell r="T728">
            <v>0</v>
          </cell>
        </row>
        <row r="729">
          <cell r="S729" t="str">
            <v xml:space="preserve"> - </v>
          </cell>
          <cell r="T729">
            <v>0</v>
          </cell>
        </row>
        <row r="730">
          <cell r="S730" t="str">
            <v xml:space="preserve"> - </v>
          </cell>
          <cell r="T730">
            <v>0</v>
          </cell>
        </row>
        <row r="731">
          <cell r="S731" t="str">
            <v xml:space="preserve"> - </v>
          </cell>
          <cell r="T731">
            <v>0</v>
          </cell>
        </row>
        <row r="732">
          <cell r="S732" t="str">
            <v xml:space="preserve"> - </v>
          </cell>
          <cell r="T732">
            <v>0</v>
          </cell>
        </row>
        <row r="733">
          <cell r="S733" t="str">
            <v>YTSHT007 - W22</v>
          </cell>
          <cell r="T733">
            <v>12</v>
          </cell>
        </row>
        <row r="734">
          <cell r="S734" t="str">
            <v xml:space="preserve"> - </v>
          </cell>
          <cell r="T734">
            <v>0</v>
          </cell>
        </row>
        <row r="735">
          <cell r="S735" t="str">
            <v xml:space="preserve"> - </v>
          </cell>
          <cell r="T735">
            <v>0</v>
          </cell>
        </row>
        <row r="736">
          <cell r="S736" t="str">
            <v xml:space="preserve"> - </v>
          </cell>
          <cell r="T736">
            <v>0</v>
          </cell>
        </row>
        <row r="737">
          <cell r="S737" t="str">
            <v xml:space="preserve"> - </v>
          </cell>
          <cell r="T737">
            <v>0</v>
          </cell>
        </row>
        <row r="738">
          <cell r="S738" t="str">
            <v xml:space="preserve"> - </v>
          </cell>
          <cell r="T738">
            <v>0</v>
          </cell>
        </row>
        <row r="739">
          <cell r="S739" t="str">
            <v>YTSHT034 - W22</v>
          </cell>
          <cell r="T739">
            <v>12</v>
          </cell>
        </row>
        <row r="740">
          <cell r="S740" t="str">
            <v xml:space="preserve"> - </v>
          </cell>
          <cell r="T740">
            <v>0</v>
          </cell>
        </row>
        <row r="741">
          <cell r="S741" t="str">
            <v xml:space="preserve"> - </v>
          </cell>
          <cell r="T741">
            <v>0</v>
          </cell>
        </row>
        <row r="742">
          <cell r="S742" t="str">
            <v xml:space="preserve"> - </v>
          </cell>
          <cell r="T742">
            <v>0</v>
          </cell>
        </row>
        <row r="743">
          <cell r="S743" t="str">
            <v xml:space="preserve"> - </v>
          </cell>
          <cell r="T743">
            <v>0</v>
          </cell>
        </row>
        <row r="744">
          <cell r="S744" t="str">
            <v xml:space="preserve"> - </v>
          </cell>
          <cell r="T744">
            <v>0</v>
          </cell>
        </row>
        <row r="745">
          <cell r="S745" t="str">
            <v xml:space="preserve"> - </v>
          </cell>
          <cell r="T745">
            <v>0</v>
          </cell>
        </row>
        <row r="746">
          <cell r="S746" t="str">
            <v xml:space="preserve"> - </v>
          </cell>
          <cell r="T746">
            <v>0</v>
          </cell>
        </row>
        <row r="747">
          <cell r="S747" t="str">
            <v>YTSRD009 - W22</v>
          </cell>
          <cell r="T747">
            <v>18</v>
          </cell>
        </row>
        <row r="748">
          <cell r="S748" t="str">
            <v xml:space="preserve"> - </v>
          </cell>
          <cell r="T748">
            <v>0</v>
          </cell>
        </row>
        <row r="749">
          <cell r="S749" t="str">
            <v xml:space="preserve"> - </v>
          </cell>
          <cell r="T749">
            <v>0</v>
          </cell>
        </row>
        <row r="750">
          <cell r="S750" t="str">
            <v xml:space="preserve"> - </v>
          </cell>
          <cell r="T750">
            <v>0</v>
          </cell>
        </row>
        <row r="751">
          <cell r="S751" t="str">
            <v>YTSHT075 - W22</v>
          </cell>
          <cell r="T751">
            <v>12</v>
          </cell>
        </row>
        <row r="752">
          <cell r="S752" t="str">
            <v xml:space="preserve"> - </v>
          </cell>
          <cell r="T752">
            <v>0</v>
          </cell>
        </row>
        <row r="753">
          <cell r="S753" t="str">
            <v xml:space="preserve"> - </v>
          </cell>
          <cell r="T753">
            <v>0</v>
          </cell>
        </row>
        <row r="754">
          <cell r="S754" t="str">
            <v xml:space="preserve"> - </v>
          </cell>
          <cell r="T754">
            <v>0</v>
          </cell>
        </row>
        <row r="755">
          <cell r="S755" t="str">
            <v xml:space="preserve"> - </v>
          </cell>
          <cell r="T755">
            <v>0</v>
          </cell>
        </row>
        <row r="756">
          <cell r="S756" t="str">
            <v xml:space="preserve"> - </v>
          </cell>
          <cell r="T756">
            <v>0</v>
          </cell>
        </row>
        <row r="757">
          <cell r="S757" t="str">
            <v>YTSHT108 - W22</v>
          </cell>
          <cell r="T757">
            <v>14</v>
          </cell>
        </row>
        <row r="758">
          <cell r="S758" t="str">
            <v xml:space="preserve"> - </v>
          </cell>
          <cell r="T758">
            <v>0</v>
          </cell>
        </row>
        <row r="759">
          <cell r="S759" t="str">
            <v xml:space="preserve"> - </v>
          </cell>
          <cell r="T759">
            <v>0</v>
          </cell>
        </row>
        <row r="760">
          <cell r="S760" t="str">
            <v xml:space="preserve"> - </v>
          </cell>
          <cell r="T760">
            <v>0</v>
          </cell>
        </row>
        <row r="761">
          <cell r="S761" t="str">
            <v xml:space="preserve"> - </v>
          </cell>
          <cell r="T761">
            <v>0</v>
          </cell>
        </row>
        <row r="762">
          <cell r="S762" t="str">
            <v>YTSLD006 - W22</v>
          </cell>
          <cell r="T762">
            <v>36</v>
          </cell>
        </row>
        <row r="763">
          <cell r="S763" t="str">
            <v xml:space="preserve"> - </v>
          </cell>
          <cell r="T763">
            <v>0</v>
          </cell>
        </row>
        <row r="764">
          <cell r="S764" t="str">
            <v xml:space="preserve"> - </v>
          </cell>
          <cell r="T764">
            <v>0</v>
          </cell>
        </row>
        <row r="765">
          <cell r="S765" t="str">
            <v xml:space="preserve"> - </v>
          </cell>
          <cell r="T765">
            <v>0</v>
          </cell>
        </row>
        <row r="766">
          <cell r="S766" t="str">
            <v xml:space="preserve"> - </v>
          </cell>
          <cell r="T766">
            <v>0</v>
          </cell>
        </row>
        <row r="767">
          <cell r="S767" t="str">
            <v xml:space="preserve"> - </v>
          </cell>
          <cell r="T767">
            <v>0</v>
          </cell>
        </row>
        <row r="768">
          <cell r="S768" t="str">
            <v xml:space="preserve"> - </v>
          </cell>
          <cell r="T768">
            <v>0</v>
          </cell>
        </row>
        <row r="769">
          <cell r="S769" t="str">
            <v xml:space="preserve"> - </v>
          </cell>
          <cell r="T769">
            <v>0</v>
          </cell>
        </row>
        <row r="770">
          <cell r="S770" t="str">
            <v xml:space="preserve"> - </v>
          </cell>
          <cell r="T770">
            <v>0</v>
          </cell>
        </row>
        <row r="771">
          <cell r="S771" t="str">
            <v xml:space="preserve"> - </v>
          </cell>
          <cell r="T771">
            <v>0</v>
          </cell>
        </row>
        <row r="772">
          <cell r="S772" t="str">
            <v xml:space="preserve"> - </v>
          </cell>
          <cell r="T772">
            <v>0</v>
          </cell>
        </row>
        <row r="773">
          <cell r="S773" t="str">
            <v xml:space="preserve"> - </v>
          </cell>
          <cell r="T773">
            <v>0</v>
          </cell>
        </row>
        <row r="774">
          <cell r="S774" t="str">
            <v xml:space="preserve"> - </v>
          </cell>
          <cell r="T774">
            <v>0</v>
          </cell>
        </row>
        <row r="775">
          <cell r="S775" t="str">
            <v>YTSLD007 - W22</v>
          </cell>
          <cell r="T775">
            <v>12</v>
          </cell>
        </row>
        <row r="776">
          <cell r="S776" t="str">
            <v xml:space="preserve"> - </v>
          </cell>
          <cell r="T776">
            <v>0</v>
          </cell>
        </row>
        <row r="777">
          <cell r="S777" t="str">
            <v xml:space="preserve"> - </v>
          </cell>
          <cell r="T777">
            <v>0</v>
          </cell>
        </row>
        <row r="778">
          <cell r="S778" t="str">
            <v xml:space="preserve"> - </v>
          </cell>
          <cell r="T778">
            <v>0</v>
          </cell>
        </row>
        <row r="779">
          <cell r="S779" t="str">
            <v xml:space="preserve"> - </v>
          </cell>
          <cell r="T779">
            <v>0</v>
          </cell>
        </row>
        <row r="780">
          <cell r="S780" t="str">
            <v xml:space="preserve"> - </v>
          </cell>
          <cell r="T780">
            <v>0</v>
          </cell>
        </row>
        <row r="781">
          <cell r="S781" t="str">
            <v xml:space="preserve"> - </v>
          </cell>
          <cell r="T781">
            <v>0</v>
          </cell>
        </row>
        <row r="782">
          <cell r="S782" t="str">
            <v xml:space="preserve"> - </v>
          </cell>
          <cell r="T782">
            <v>0</v>
          </cell>
        </row>
        <row r="783">
          <cell r="S783" t="str">
            <v xml:space="preserve"> - </v>
          </cell>
          <cell r="T783">
            <v>0</v>
          </cell>
        </row>
        <row r="784">
          <cell r="S784" t="str">
            <v xml:space="preserve"> - </v>
          </cell>
          <cell r="T784">
            <v>0</v>
          </cell>
        </row>
        <row r="785">
          <cell r="S785" t="str">
            <v xml:space="preserve"> - </v>
          </cell>
          <cell r="T785">
            <v>0</v>
          </cell>
        </row>
        <row r="786">
          <cell r="S786" t="str">
            <v xml:space="preserve"> - </v>
          </cell>
          <cell r="T786">
            <v>0</v>
          </cell>
        </row>
        <row r="787">
          <cell r="S787" t="str">
            <v xml:space="preserve"> - </v>
          </cell>
          <cell r="T787">
            <v>0</v>
          </cell>
        </row>
        <row r="788">
          <cell r="S788" t="str">
            <v xml:space="preserve"> - </v>
          </cell>
          <cell r="T788">
            <v>0</v>
          </cell>
        </row>
        <row r="789">
          <cell r="S789" t="str">
            <v>YTSHT078 - W22</v>
          </cell>
          <cell r="T789">
            <v>12</v>
          </cell>
        </row>
        <row r="790">
          <cell r="S790" t="str">
            <v xml:space="preserve"> - </v>
          </cell>
          <cell r="T790">
            <v>0</v>
          </cell>
        </row>
        <row r="791">
          <cell r="S791" t="str">
            <v xml:space="preserve"> - </v>
          </cell>
          <cell r="T791">
            <v>0</v>
          </cell>
        </row>
        <row r="792">
          <cell r="S792" t="str">
            <v xml:space="preserve"> - </v>
          </cell>
          <cell r="T792">
            <v>0</v>
          </cell>
        </row>
        <row r="793">
          <cell r="S793" t="str">
            <v xml:space="preserve"> - </v>
          </cell>
          <cell r="T793">
            <v>0</v>
          </cell>
        </row>
        <row r="794">
          <cell r="S794" t="str">
            <v>YTSHT106 - W22</v>
          </cell>
          <cell r="T794">
            <v>12</v>
          </cell>
        </row>
        <row r="795">
          <cell r="S795" t="str">
            <v xml:space="preserve"> - </v>
          </cell>
          <cell r="T795">
            <v>0</v>
          </cell>
        </row>
        <row r="796">
          <cell r="S796" t="str">
            <v xml:space="preserve"> - </v>
          </cell>
          <cell r="T796">
            <v>0</v>
          </cell>
        </row>
        <row r="797">
          <cell r="S797" t="str">
            <v xml:space="preserve"> - </v>
          </cell>
          <cell r="T797">
            <v>0</v>
          </cell>
        </row>
        <row r="798">
          <cell r="S798" t="str">
            <v xml:space="preserve"> - </v>
          </cell>
          <cell r="T798">
            <v>0</v>
          </cell>
        </row>
        <row r="799">
          <cell r="S799" t="str">
            <v xml:space="preserve"> - </v>
          </cell>
          <cell r="T799">
            <v>0</v>
          </cell>
        </row>
        <row r="800">
          <cell r="S800" t="str">
            <v>YTSHT061 - W22</v>
          </cell>
          <cell r="T800">
            <v>48</v>
          </cell>
        </row>
        <row r="801">
          <cell r="S801" t="str">
            <v xml:space="preserve"> - </v>
          </cell>
          <cell r="T801">
            <v>0</v>
          </cell>
        </row>
        <row r="802">
          <cell r="S802" t="str">
            <v>YTSHT003 - W22</v>
          </cell>
          <cell r="T802">
            <v>12</v>
          </cell>
        </row>
        <row r="803">
          <cell r="S803" t="str">
            <v xml:space="preserve"> - </v>
          </cell>
          <cell r="T803">
            <v>0</v>
          </cell>
        </row>
        <row r="804">
          <cell r="S804" t="str">
            <v xml:space="preserve"> - </v>
          </cell>
          <cell r="T804">
            <v>0</v>
          </cell>
        </row>
        <row r="805">
          <cell r="S805" t="str">
            <v xml:space="preserve"> - </v>
          </cell>
          <cell r="T805">
            <v>0</v>
          </cell>
        </row>
        <row r="806">
          <cell r="S806" t="str">
            <v xml:space="preserve"> - </v>
          </cell>
          <cell r="T806">
            <v>0</v>
          </cell>
        </row>
        <row r="807">
          <cell r="S807" t="str">
            <v>YTSHT035 - W22</v>
          </cell>
          <cell r="T807">
            <v>12</v>
          </cell>
        </row>
        <row r="808">
          <cell r="S808" t="str">
            <v xml:space="preserve"> - </v>
          </cell>
          <cell r="T808">
            <v>0</v>
          </cell>
        </row>
        <row r="809">
          <cell r="S809" t="str">
            <v xml:space="preserve"> - </v>
          </cell>
          <cell r="T809">
            <v>0</v>
          </cell>
        </row>
        <row r="810">
          <cell r="S810" t="str">
            <v xml:space="preserve"> - </v>
          </cell>
          <cell r="T810">
            <v>0</v>
          </cell>
        </row>
        <row r="811">
          <cell r="S811" t="str">
            <v xml:space="preserve"> - </v>
          </cell>
          <cell r="T811">
            <v>0</v>
          </cell>
        </row>
        <row r="812">
          <cell r="S812" t="str">
            <v xml:space="preserve">YTSHT022 - </v>
          </cell>
          <cell r="T812">
            <v>12</v>
          </cell>
        </row>
        <row r="813">
          <cell r="S813" t="str">
            <v xml:space="preserve"> - </v>
          </cell>
          <cell r="T813">
            <v>0</v>
          </cell>
        </row>
        <row r="814">
          <cell r="S814" t="str">
            <v xml:space="preserve"> - </v>
          </cell>
          <cell r="T814">
            <v>0</v>
          </cell>
        </row>
        <row r="815">
          <cell r="S815" t="str">
            <v xml:space="preserve"> - </v>
          </cell>
          <cell r="T815">
            <v>0</v>
          </cell>
        </row>
        <row r="816">
          <cell r="S816" t="str">
            <v xml:space="preserve"> - </v>
          </cell>
          <cell r="T816">
            <v>0</v>
          </cell>
        </row>
        <row r="817">
          <cell r="S817" t="str">
            <v xml:space="preserve"> - </v>
          </cell>
          <cell r="T817">
            <v>0</v>
          </cell>
        </row>
        <row r="818">
          <cell r="S818" t="str">
            <v xml:space="preserve"> - </v>
          </cell>
          <cell r="T818">
            <v>0</v>
          </cell>
        </row>
        <row r="819">
          <cell r="S819" t="str">
            <v xml:space="preserve">25 May 2015  18:04:02 - </v>
          </cell>
          <cell r="T819">
            <v>0</v>
          </cell>
        </row>
        <row r="820">
          <cell r="S820" t="str">
            <v xml:space="preserve"> - </v>
          </cell>
          <cell r="T820">
            <v>0</v>
          </cell>
        </row>
        <row r="821">
          <cell r="S821" t="str">
            <v xml:space="preserve"> - </v>
          </cell>
          <cell r="T821">
            <v>0</v>
          </cell>
        </row>
        <row r="822">
          <cell r="S822" t="str">
            <v xml:space="preserve"> - </v>
          </cell>
          <cell r="T822">
            <v>0</v>
          </cell>
        </row>
        <row r="823">
          <cell r="S823" t="str">
            <v xml:space="preserve"> - </v>
          </cell>
          <cell r="T823">
            <v>0</v>
          </cell>
        </row>
        <row r="824">
          <cell r="S824" t="str">
            <v xml:space="preserve"> - </v>
          </cell>
          <cell r="T824">
            <v>0</v>
          </cell>
        </row>
        <row r="825">
          <cell r="S825" t="str">
            <v xml:space="preserve"> - </v>
          </cell>
          <cell r="T825">
            <v>0</v>
          </cell>
        </row>
        <row r="826">
          <cell r="S826" t="str">
            <v xml:space="preserve"> - </v>
          </cell>
          <cell r="T826">
            <v>0</v>
          </cell>
        </row>
        <row r="827">
          <cell r="S827" t="str">
            <v xml:space="preserve"> - </v>
          </cell>
          <cell r="T827">
            <v>0</v>
          </cell>
        </row>
        <row r="828">
          <cell r="S828" t="str">
            <v xml:space="preserve"> - </v>
          </cell>
          <cell r="T828">
            <v>0</v>
          </cell>
        </row>
        <row r="829">
          <cell r="S829" t="str">
            <v xml:space="preserve"> - </v>
          </cell>
          <cell r="T829">
            <v>0</v>
          </cell>
        </row>
        <row r="830">
          <cell r="S830" t="str">
            <v xml:space="preserve"> - </v>
          </cell>
          <cell r="T830">
            <v>0</v>
          </cell>
        </row>
        <row r="831">
          <cell r="S831" t="str">
            <v xml:space="preserve"> - </v>
          </cell>
          <cell r="T831">
            <v>0</v>
          </cell>
        </row>
        <row r="832">
          <cell r="S832" t="str">
            <v xml:space="preserve"> - </v>
          </cell>
          <cell r="T832">
            <v>0</v>
          </cell>
        </row>
        <row r="833">
          <cell r="S833" t="str">
            <v xml:space="preserve"> - </v>
          </cell>
          <cell r="T833">
            <v>0</v>
          </cell>
        </row>
        <row r="834">
          <cell r="S834" t="str">
            <v xml:space="preserve"> - </v>
          </cell>
          <cell r="T834">
            <v>0</v>
          </cell>
        </row>
        <row r="835">
          <cell r="S835" t="str">
            <v xml:space="preserve"> - </v>
          </cell>
          <cell r="T835">
            <v>0</v>
          </cell>
        </row>
        <row r="836">
          <cell r="S836" t="str">
            <v xml:space="preserve"> - </v>
          </cell>
          <cell r="T836">
            <v>0</v>
          </cell>
        </row>
        <row r="837">
          <cell r="S837" t="str">
            <v xml:space="preserve"> - </v>
          </cell>
          <cell r="T837">
            <v>0</v>
          </cell>
        </row>
        <row r="838">
          <cell r="S838" t="str">
            <v xml:space="preserve"> - </v>
          </cell>
          <cell r="T838">
            <v>0</v>
          </cell>
        </row>
        <row r="839">
          <cell r="S839" t="str">
            <v xml:space="preserve"> - </v>
          </cell>
          <cell r="T839">
            <v>0</v>
          </cell>
        </row>
        <row r="840">
          <cell r="S840" t="str">
            <v xml:space="preserve"> - </v>
          </cell>
          <cell r="T840">
            <v>0</v>
          </cell>
        </row>
        <row r="841">
          <cell r="S841" t="str">
            <v xml:space="preserve"> - </v>
          </cell>
          <cell r="T841">
            <v>0</v>
          </cell>
        </row>
        <row r="842">
          <cell r="S842" t="str">
            <v xml:space="preserve"> - </v>
          </cell>
          <cell r="T842">
            <v>0</v>
          </cell>
        </row>
        <row r="843">
          <cell r="S843" t="str">
            <v xml:space="preserve"> - </v>
          </cell>
          <cell r="T843">
            <v>0</v>
          </cell>
        </row>
        <row r="844">
          <cell r="S844" t="str">
            <v xml:space="preserve"> - </v>
          </cell>
          <cell r="T844">
            <v>0</v>
          </cell>
        </row>
        <row r="845">
          <cell r="S845" t="str">
            <v xml:space="preserve"> - </v>
          </cell>
          <cell r="T845">
            <v>0</v>
          </cell>
        </row>
        <row r="846">
          <cell r="S846" t="str">
            <v xml:space="preserve"> - </v>
          </cell>
          <cell r="T846">
            <v>0</v>
          </cell>
        </row>
        <row r="847">
          <cell r="S847" t="str">
            <v xml:space="preserve"> - </v>
          </cell>
          <cell r="T847">
            <v>0</v>
          </cell>
        </row>
        <row r="848">
          <cell r="S848" t="str">
            <v xml:space="preserve"> - </v>
          </cell>
          <cell r="T848">
            <v>0</v>
          </cell>
        </row>
        <row r="849">
          <cell r="S849" t="str">
            <v xml:space="preserve"> - </v>
          </cell>
          <cell r="T849">
            <v>0</v>
          </cell>
        </row>
        <row r="850">
          <cell r="S850" t="str">
            <v xml:space="preserve"> - </v>
          </cell>
          <cell r="T850">
            <v>0</v>
          </cell>
        </row>
        <row r="851">
          <cell r="S851" t="str">
            <v xml:space="preserve"> - </v>
          </cell>
          <cell r="T851">
            <v>0</v>
          </cell>
        </row>
        <row r="852">
          <cell r="S852" t="str">
            <v xml:space="preserve"> - </v>
          </cell>
          <cell r="T852">
            <v>0</v>
          </cell>
        </row>
        <row r="853">
          <cell r="S853" t="str">
            <v xml:space="preserve"> - </v>
          </cell>
          <cell r="T853">
            <v>0</v>
          </cell>
        </row>
        <row r="854">
          <cell r="S854" t="str">
            <v xml:space="preserve"> - </v>
          </cell>
          <cell r="T854">
            <v>0</v>
          </cell>
        </row>
        <row r="855">
          <cell r="S855" t="str">
            <v xml:space="preserve"> - </v>
          </cell>
          <cell r="T855">
            <v>0</v>
          </cell>
        </row>
        <row r="856">
          <cell r="S856" t="str">
            <v xml:space="preserve"> - </v>
          </cell>
          <cell r="T856">
            <v>0</v>
          </cell>
        </row>
        <row r="857">
          <cell r="S857" t="str">
            <v xml:space="preserve"> - </v>
          </cell>
          <cell r="T857">
            <v>0</v>
          </cell>
        </row>
        <row r="858">
          <cell r="S858" t="str">
            <v xml:space="preserve"> - </v>
          </cell>
          <cell r="T858">
            <v>0</v>
          </cell>
        </row>
        <row r="859">
          <cell r="S859" t="str">
            <v xml:space="preserve"> - </v>
          </cell>
          <cell r="T859">
            <v>0</v>
          </cell>
        </row>
        <row r="860">
          <cell r="S860" t="str">
            <v xml:space="preserve"> - </v>
          </cell>
          <cell r="T860">
            <v>0</v>
          </cell>
        </row>
        <row r="861">
          <cell r="S861" t="str">
            <v xml:space="preserve"> - </v>
          </cell>
          <cell r="T861">
            <v>0</v>
          </cell>
        </row>
        <row r="862">
          <cell r="S862" t="str">
            <v xml:space="preserve"> - </v>
          </cell>
          <cell r="T862">
            <v>0</v>
          </cell>
        </row>
        <row r="863">
          <cell r="S863" t="str">
            <v xml:space="preserve"> - </v>
          </cell>
          <cell r="T863">
            <v>0</v>
          </cell>
        </row>
        <row r="864">
          <cell r="S864" t="str">
            <v xml:space="preserve"> - </v>
          </cell>
          <cell r="T864">
            <v>0</v>
          </cell>
        </row>
        <row r="865">
          <cell r="S865" t="str">
            <v xml:space="preserve"> - </v>
          </cell>
          <cell r="T865">
            <v>0</v>
          </cell>
        </row>
        <row r="866">
          <cell r="S866" t="str">
            <v xml:space="preserve"> - </v>
          </cell>
          <cell r="T866">
            <v>0</v>
          </cell>
        </row>
        <row r="867">
          <cell r="S867" t="str">
            <v xml:space="preserve"> - </v>
          </cell>
          <cell r="T867">
            <v>0</v>
          </cell>
        </row>
        <row r="868">
          <cell r="S868" t="str">
            <v xml:space="preserve"> - </v>
          </cell>
          <cell r="T868">
            <v>0</v>
          </cell>
        </row>
        <row r="869">
          <cell r="S869" t="str">
            <v xml:space="preserve"> - </v>
          </cell>
          <cell r="T869">
            <v>0</v>
          </cell>
        </row>
        <row r="870">
          <cell r="S870" t="str">
            <v xml:space="preserve"> - </v>
          </cell>
          <cell r="T870">
            <v>0</v>
          </cell>
        </row>
        <row r="871">
          <cell r="S871" t="str">
            <v xml:space="preserve"> - </v>
          </cell>
          <cell r="T871">
            <v>0</v>
          </cell>
        </row>
        <row r="872">
          <cell r="S872" t="str">
            <v xml:space="preserve"> - </v>
          </cell>
          <cell r="T872">
            <v>0</v>
          </cell>
        </row>
        <row r="873">
          <cell r="S873" t="str">
            <v xml:space="preserve"> - </v>
          </cell>
          <cell r="T873">
            <v>0</v>
          </cell>
        </row>
        <row r="874">
          <cell r="S874" t="str">
            <v xml:space="preserve"> - </v>
          </cell>
          <cell r="T874">
            <v>0</v>
          </cell>
        </row>
        <row r="875">
          <cell r="S875" t="str">
            <v xml:space="preserve"> - </v>
          </cell>
          <cell r="T875">
            <v>0</v>
          </cell>
        </row>
        <row r="876">
          <cell r="S876" t="str">
            <v xml:space="preserve"> - </v>
          </cell>
          <cell r="T876">
            <v>0</v>
          </cell>
        </row>
        <row r="877">
          <cell r="S877" t="str">
            <v xml:space="preserve"> - </v>
          </cell>
          <cell r="T877">
            <v>0</v>
          </cell>
        </row>
        <row r="878">
          <cell r="S878" t="str">
            <v xml:space="preserve"> - </v>
          </cell>
          <cell r="T878">
            <v>0</v>
          </cell>
        </row>
        <row r="879">
          <cell r="S879" t="str">
            <v xml:space="preserve"> - </v>
          </cell>
          <cell r="T879">
            <v>0</v>
          </cell>
        </row>
        <row r="880">
          <cell r="S880" t="str">
            <v xml:space="preserve"> - </v>
          </cell>
          <cell r="T880">
            <v>0</v>
          </cell>
        </row>
        <row r="881">
          <cell r="S881" t="str">
            <v xml:space="preserve"> - </v>
          </cell>
          <cell r="T881">
            <v>0</v>
          </cell>
        </row>
        <row r="882">
          <cell r="S882" t="str">
            <v xml:space="preserve"> - </v>
          </cell>
          <cell r="T882">
            <v>0</v>
          </cell>
        </row>
        <row r="883">
          <cell r="S883" t="str">
            <v xml:space="preserve"> - </v>
          </cell>
          <cell r="T883">
            <v>0</v>
          </cell>
        </row>
        <row r="884">
          <cell r="S884" t="str">
            <v xml:space="preserve"> - </v>
          </cell>
          <cell r="T884">
            <v>0</v>
          </cell>
        </row>
        <row r="885">
          <cell r="S885" t="str">
            <v xml:space="preserve"> - </v>
          </cell>
          <cell r="T885">
            <v>0</v>
          </cell>
        </row>
        <row r="886">
          <cell r="S886" t="str">
            <v xml:space="preserve"> - </v>
          </cell>
          <cell r="T886">
            <v>0</v>
          </cell>
        </row>
        <row r="887">
          <cell r="S887" t="str">
            <v xml:space="preserve"> - </v>
          </cell>
          <cell r="T887">
            <v>0</v>
          </cell>
        </row>
        <row r="888">
          <cell r="S888" t="str">
            <v xml:space="preserve"> - </v>
          </cell>
          <cell r="T888">
            <v>0</v>
          </cell>
        </row>
        <row r="889">
          <cell r="S889" t="str">
            <v xml:space="preserve"> - </v>
          </cell>
          <cell r="T889">
            <v>0</v>
          </cell>
        </row>
        <row r="890">
          <cell r="S890" t="str">
            <v xml:space="preserve"> - </v>
          </cell>
          <cell r="T890">
            <v>0</v>
          </cell>
        </row>
        <row r="891">
          <cell r="S891" t="str">
            <v xml:space="preserve"> - </v>
          </cell>
          <cell r="T891">
            <v>0</v>
          </cell>
        </row>
        <row r="892">
          <cell r="S892" t="str">
            <v xml:space="preserve"> - </v>
          </cell>
          <cell r="T892">
            <v>0</v>
          </cell>
        </row>
        <row r="893">
          <cell r="S893" t="str">
            <v xml:space="preserve"> - </v>
          </cell>
          <cell r="T893">
            <v>0</v>
          </cell>
        </row>
        <row r="894">
          <cell r="S894" t="str">
            <v xml:space="preserve"> - </v>
          </cell>
          <cell r="T894">
            <v>0</v>
          </cell>
        </row>
        <row r="895">
          <cell r="S895" t="str">
            <v xml:space="preserve"> - </v>
          </cell>
          <cell r="T895">
            <v>0</v>
          </cell>
        </row>
        <row r="896">
          <cell r="S896" t="str">
            <v xml:space="preserve"> - </v>
          </cell>
          <cell r="T896">
            <v>0</v>
          </cell>
        </row>
        <row r="897">
          <cell r="S897" t="str">
            <v xml:space="preserve"> - </v>
          </cell>
          <cell r="T897">
            <v>0</v>
          </cell>
        </row>
        <row r="898">
          <cell r="S898" t="str">
            <v xml:space="preserve"> - </v>
          </cell>
          <cell r="T898">
            <v>0</v>
          </cell>
        </row>
        <row r="899">
          <cell r="S899" t="str">
            <v xml:space="preserve"> - </v>
          </cell>
          <cell r="T899">
            <v>0</v>
          </cell>
        </row>
        <row r="900">
          <cell r="S900" t="str">
            <v xml:space="preserve"> - </v>
          </cell>
          <cell r="T900">
            <v>0</v>
          </cell>
        </row>
        <row r="901">
          <cell r="S901" t="str">
            <v xml:space="preserve"> - </v>
          </cell>
          <cell r="T901">
            <v>0</v>
          </cell>
        </row>
        <row r="902">
          <cell r="S902" t="str">
            <v xml:space="preserve"> - </v>
          </cell>
          <cell r="T902">
            <v>0</v>
          </cell>
        </row>
        <row r="903">
          <cell r="S903" t="str">
            <v xml:space="preserve"> - </v>
          </cell>
          <cell r="T903">
            <v>0</v>
          </cell>
        </row>
        <row r="904">
          <cell r="S904" t="str">
            <v xml:space="preserve"> - </v>
          </cell>
          <cell r="T904">
            <v>0</v>
          </cell>
        </row>
        <row r="905">
          <cell r="S905" t="str">
            <v xml:space="preserve"> - </v>
          </cell>
          <cell r="T905">
            <v>0</v>
          </cell>
        </row>
        <row r="906">
          <cell r="S906" t="str">
            <v xml:space="preserve"> - </v>
          </cell>
          <cell r="T906">
            <v>0</v>
          </cell>
        </row>
        <row r="907">
          <cell r="S907" t="str">
            <v xml:space="preserve"> - </v>
          </cell>
          <cell r="T907">
            <v>0</v>
          </cell>
        </row>
        <row r="908">
          <cell r="S908" t="str">
            <v xml:space="preserve"> - </v>
          </cell>
          <cell r="T908">
            <v>0</v>
          </cell>
        </row>
        <row r="909">
          <cell r="S909" t="str">
            <v xml:space="preserve"> - </v>
          </cell>
          <cell r="T909">
            <v>0</v>
          </cell>
        </row>
        <row r="910">
          <cell r="S910" t="str">
            <v xml:space="preserve"> - </v>
          </cell>
          <cell r="T910">
            <v>0</v>
          </cell>
        </row>
        <row r="911">
          <cell r="S911" t="str">
            <v xml:space="preserve"> - </v>
          </cell>
          <cell r="T911">
            <v>0</v>
          </cell>
        </row>
        <row r="912">
          <cell r="S912" t="str">
            <v xml:space="preserve"> - </v>
          </cell>
          <cell r="T912">
            <v>0</v>
          </cell>
        </row>
        <row r="913">
          <cell r="S913" t="str">
            <v xml:space="preserve"> - </v>
          </cell>
          <cell r="T913">
            <v>0</v>
          </cell>
        </row>
        <row r="914">
          <cell r="S914" t="str">
            <v xml:space="preserve"> - </v>
          </cell>
          <cell r="T914">
            <v>0</v>
          </cell>
        </row>
        <row r="915">
          <cell r="S915" t="str">
            <v xml:space="preserve"> - </v>
          </cell>
          <cell r="T915">
            <v>0</v>
          </cell>
        </row>
        <row r="916">
          <cell r="S916" t="str">
            <v xml:space="preserve"> - </v>
          </cell>
          <cell r="T916">
            <v>0</v>
          </cell>
        </row>
        <row r="917">
          <cell r="S917" t="str">
            <v xml:space="preserve"> - </v>
          </cell>
          <cell r="T917">
            <v>0</v>
          </cell>
        </row>
        <row r="918">
          <cell r="S918" t="str">
            <v xml:space="preserve"> - </v>
          </cell>
          <cell r="T918">
            <v>0</v>
          </cell>
        </row>
        <row r="919">
          <cell r="S919" t="str">
            <v xml:space="preserve"> - </v>
          </cell>
          <cell r="T919">
            <v>0</v>
          </cell>
        </row>
        <row r="920">
          <cell r="S920" t="str">
            <v xml:space="preserve"> - </v>
          </cell>
          <cell r="T920">
            <v>0</v>
          </cell>
        </row>
        <row r="921">
          <cell r="S921" t="str">
            <v xml:space="preserve"> - </v>
          </cell>
          <cell r="T921">
            <v>0</v>
          </cell>
        </row>
        <row r="922">
          <cell r="S922" t="str">
            <v xml:space="preserve"> - </v>
          </cell>
          <cell r="T922">
            <v>0</v>
          </cell>
        </row>
        <row r="923">
          <cell r="S923" t="str">
            <v xml:space="preserve"> - </v>
          </cell>
          <cell r="T923">
            <v>0</v>
          </cell>
        </row>
        <row r="924">
          <cell r="S924" t="str">
            <v xml:space="preserve"> - </v>
          </cell>
          <cell r="T924">
            <v>0</v>
          </cell>
        </row>
        <row r="925">
          <cell r="S925" t="str">
            <v xml:space="preserve"> - </v>
          </cell>
          <cell r="T925">
            <v>0</v>
          </cell>
        </row>
        <row r="926">
          <cell r="S926" t="str">
            <v xml:space="preserve"> - </v>
          </cell>
          <cell r="T926">
            <v>0</v>
          </cell>
        </row>
        <row r="927">
          <cell r="S927" t="str">
            <v xml:space="preserve"> - </v>
          </cell>
          <cell r="T927">
            <v>0</v>
          </cell>
        </row>
        <row r="928">
          <cell r="S928" t="str">
            <v xml:space="preserve"> - </v>
          </cell>
          <cell r="T928">
            <v>0</v>
          </cell>
        </row>
        <row r="929">
          <cell r="S929" t="str">
            <v xml:space="preserve"> - </v>
          </cell>
          <cell r="T929">
            <v>0</v>
          </cell>
        </row>
        <row r="930">
          <cell r="S930" t="str">
            <v xml:space="preserve"> - </v>
          </cell>
          <cell r="T930">
            <v>0</v>
          </cell>
        </row>
        <row r="931">
          <cell r="S931" t="str">
            <v xml:space="preserve"> - </v>
          </cell>
          <cell r="T931">
            <v>0</v>
          </cell>
        </row>
        <row r="932">
          <cell r="S932" t="str">
            <v xml:space="preserve"> - </v>
          </cell>
          <cell r="T932">
            <v>0</v>
          </cell>
        </row>
        <row r="933">
          <cell r="S933" t="str">
            <v xml:space="preserve"> - </v>
          </cell>
          <cell r="T933">
            <v>0</v>
          </cell>
        </row>
        <row r="934">
          <cell r="S934" t="str">
            <v xml:space="preserve"> - </v>
          </cell>
          <cell r="T934">
            <v>0</v>
          </cell>
        </row>
        <row r="935">
          <cell r="S935" t="str">
            <v xml:space="preserve"> - </v>
          </cell>
          <cell r="T935">
            <v>0</v>
          </cell>
        </row>
        <row r="936">
          <cell r="S936" t="str">
            <v xml:space="preserve"> - </v>
          </cell>
          <cell r="T936">
            <v>0</v>
          </cell>
        </row>
        <row r="937">
          <cell r="S937" t="str">
            <v xml:space="preserve"> - </v>
          </cell>
          <cell r="T937">
            <v>0</v>
          </cell>
        </row>
        <row r="938">
          <cell r="S938" t="str">
            <v xml:space="preserve"> - </v>
          </cell>
          <cell r="T938">
            <v>0</v>
          </cell>
        </row>
        <row r="939">
          <cell r="S939" t="str">
            <v xml:space="preserve"> - </v>
          </cell>
          <cell r="T939">
            <v>0</v>
          </cell>
        </row>
        <row r="940">
          <cell r="S940" t="str">
            <v xml:space="preserve"> - </v>
          </cell>
          <cell r="T940">
            <v>0</v>
          </cell>
        </row>
        <row r="941">
          <cell r="S941" t="str">
            <v xml:space="preserve"> - </v>
          </cell>
          <cell r="T941">
            <v>0</v>
          </cell>
        </row>
        <row r="942">
          <cell r="S942" t="str">
            <v xml:space="preserve"> - </v>
          </cell>
          <cell r="T942">
            <v>0</v>
          </cell>
        </row>
        <row r="943">
          <cell r="S943" t="str">
            <v xml:space="preserve"> - </v>
          </cell>
          <cell r="T943">
            <v>0</v>
          </cell>
        </row>
        <row r="944">
          <cell r="S944" t="str">
            <v xml:space="preserve"> - </v>
          </cell>
          <cell r="T944">
            <v>0</v>
          </cell>
        </row>
        <row r="945">
          <cell r="S945" t="str">
            <v xml:space="preserve"> - </v>
          </cell>
          <cell r="T945">
            <v>0</v>
          </cell>
        </row>
        <row r="946">
          <cell r="S946" t="str">
            <v xml:space="preserve"> - </v>
          </cell>
          <cell r="T946">
            <v>0</v>
          </cell>
        </row>
        <row r="947">
          <cell r="S947" t="str">
            <v xml:space="preserve"> - </v>
          </cell>
          <cell r="T947">
            <v>0</v>
          </cell>
        </row>
        <row r="948">
          <cell r="S948" t="str">
            <v xml:space="preserve"> - </v>
          </cell>
          <cell r="T948">
            <v>0</v>
          </cell>
        </row>
        <row r="949">
          <cell r="S949" t="str">
            <v xml:space="preserve"> - </v>
          </cell>
          <cell r="T949">
            <v>0</v>
          </cell>
        </row>
        <row r="950">
          <cell r="S950" t="str">
            <v xml:space="preserve"> - </v>
          </cell>
          <cell r="T950">
            <v>0</v>
          </cell>
        </row>
        <row r="951">
          <cell r="S951" t="str">
            <v xml:space="preserve"> - </v>
          </cell>
          <cell r="T951">
            <v>0</v>
          </cell>
        </row>
        <row r="952">
          <cell r="S952" t="str">
            <v xml:space="preserve"> - </v>
          </cell>
          <cell r="T952">
            <v>0</v>
          </cell>
        </row>
        <row r="953">
          <cell r="S953" t="str">
            <v xml:space="preserve"> - </v>
          </cell>
          <cell r="T953">
            <v>0</v>
          </cell>
        </row>
        <row r="954">
          <cell r="S954" t="str">
            <v xml:space="preserve"> - </v>
          </cell>
          <cell r="T954">
            <v>0</v>
          </cell>
        </row>
        <row r="955">
          <cell r="S955" t="str">
            <v xml:space="preserve"> - </v>
          </cell>
          <cell r="T955">
            <v>0</v>
          </cell>
        </row>
        <row r="956">
          <cell r="S956" t="str">
            <v xml:space="preserve"> - </v>
          </cell>
          <cell r="T956">
            <v>0</v>
          </cell>
        </row>
        <row r="957">
          <cell r="S957" t="str">
            <v xml:space="preserve"> - </v>
          </cell>
          <cell r="T957">
            <v>0</v>
          </cell>
        </row>
        <row r="958">
          <cell r="S958" t="str">
            <v xml:space="preserve"> - </v>
          </cell>
          <cell r="T958">
            <v>0</v>
          </cell>
        </row>
        <row r="959">
          <cell r="S959" t="str">
            <v xml:space="preserve"> - </v>
          </cell>
          <cell r="T959">
            <v>0</v>
          </cell>
        </row>
        <row r="960">
          <cell r="S960" t="str">
            <v xml:space="preserve"> - </v>
          </cell>
          <cell r="T960">
            <v>0</v>
          </cell>
        </row>
        <row r="961">
          <cell r="S961" t="str">
            <v xml:space="preserve"> - </v>
          </cell>
          <cell r="T961">
            <v>0</v>
          </cell>
        </row>
        <row r="962">
          <cell r="S962" t="str">
            <v xml:space="preserve"> - </v>
          </cell>
          <cell r="T962">
            <v>0</v>
          </cell>
        </row>
        <row r="963">
          <cell r="S963" t="str">
            <v xml:space="preserve"> - </v>
          </cell>
          <cell r="T963">
            <v>0</v>
          </cell>
        </row>
        <row r="964">
          <cell r="S964" t="str">
            <v xml:space="preserve"> - </v>
          </cell>
          <cell r="T964">
            <v>0</v>
          </cell>
        </row>
        <row r="965">
          <cell r="S965" t="str">
            <v xml:space="preserve"> - </v>
          </cell>
          <cell r="T965">
            <v>0</v>
          </cell>
        </row>
        <row r="966">
          <cell r="S966" t="str">
            <v xml:space="preserve"> - </v>
          </cell>
          <cell r="T966">
            <v>0</v>
          </cell>
        </row>
        <row r="967">
          <cell r="S967" t="str">
            <v xml:space="preserve"> - </v>
          </cell>
          <cell r="T967">
            <v>0</v>
          </cell>
        </row>
        <row r="968">
          <cell r="S968" t="str">
            <v xml:space="preserve"> - </v>
          </cell>
          <cell r="T968">
            <v>0</v>
          </cell>
        </row>
        <row r="969">
          <cell r="S969" t="str">
            <v xml:space="preserve"> - </v>
          </cell>
          <cell r="T969">
            <v>0</v>
          </cell>
        </row>
        <row r="970">
          <cell r="S970" t="str">
            <v xml:space="preserve"> - </v>
          </cell>
          <cell r="T970">
            <v>0</v>
          </cell>
        </row>
        <row r="971">
          <cell r="S971" t="str">
            <v xml:space="preserve"> - </v>
          </cell>
          <cell r="T971">
            <v>0</v>
          </cell>
        </row>
        <row r="972">
          <cell r="S972" t="str">
            <v xml:space="preserve"> - </v>
          </cell>
          <cell r="T972">
            <v>0</v>
          </cell>
        </row>
        <row r="973">
          <cell r="S973" t="str">
            <v xml:space="preserve"> - </v>
          </cell>
          <cell r="T973">
            <v>0</v>
          </cell>
        </row>
        <row r="974">
          <cell r="S974" t="str">
            <v xml:space="preserve"> - </v>
          </cell>
          <cell r="T974">
            <v>0</v>
          </cell>
        </row>
        <row r="975">
          <cell r="S975" t="str">
            <v xml:space="preserve"> - </v>
          </cell>
          <cell r="T975">
            <v>0</v>
          </cell>
        </row>
        <row r="976">
          <cell r="S976" t="str">
            <v xml:space="preserve"> - </v>
          </cell>
          <cell r="T976">
            <v>0</v>
          </cell>
        </row>
        <row r="977">
          <cell r="S977" t="str">
            <v xml:space="preserve"> - </v>
          </cell>
          <cell r="T977">
            <v>0</v>
          </cell>
        </row>
        <row r="978">
          <cell r="S978" t="str">
            <v xml:space="preserve"> - </v>
          </cell>
          <cell r="T978">
            <v>0</v>
          </cell>
        </row>
        <row r="979">
          <cell r="S979" t="str">
            <v xml:space="preserve"> - </v>
          </cell>
          <cell r="T979">
            <v>0</v>
          </cell>
        </row>
        <row r="980">
          <cell r="S980" t="str">
            <v xml:space="preserve"> - </v>
          </cell>
          <cell r="T980">
            <v>0</v>
          </cell>
        </row>
        <row r="981">
          <cell r="S981" t="str">
            <v xml:space="preserve"> - </v>
          </cell>
          <cell r="T981">
            <v>0</v>
          </cell>
        </row>
        <row r="982">
          <cell r="S982" t="str">
            <v xml:space="preserve"> - </v>
          </cell>
          <cell r="T982">
            <v>0</v>
          </cell>
        </row>
        <row r="983">
          <cell r="S983" t="str">
            <v xml:space="preserve"> - </v>
          </cell>
          <cell r="T983">
            <v>0</v>
          </cell>
        </row>
        <row r="984">
          <cell r="S984" t="str">
            <v xml:space="preserve"> - </v>
          </cell>
          <cell r="T984">
            <v>0</v>
          </cell>
        </row>
        <row r="985">
          <cell r="S985" t="str">
            <v xml:space="preserve"> - </v>
          </cell>
          <cell r="T985">
            <v>0</v>
          </cell>
        </row>
        <row r="986">
          <cell r="S986" t="str">
            <v xml:space="preserve"> - </v>
          </cell>
          <cell r="T986">
            <v>0</v>
          </cell>
        </row>
        <row r="987">
          <cell r="S987" t="str">
            <v xml:space="preserve"> - </v>
          </cell>
          <cell r="T987">
            <v>0</v>
          </cell>
        </row>
        <row r="988">
          <cell r="S988" t="str">
            <v xml:space="preserve"> - </v>
          </cell>
          <cell r="T988">
            <v>0</v>
          </cell>
        </row>
        <row r="989">
          <cell r="S989" t="str">
            <v xml:space="preserve"> - </v>
          </cell>
          <cell r="T989">
            <v>0</v>
          </cell>
        </row>
        <row r="990">
          <cell r="S990" t="str">
            <v xml:space="preserve"> - </v>
          </cell>
          <cell r="T990">
            <v>0</v>
          </cell>
        </row>
        <row r="991">
          <cell r="S991" t="str">
            <v xml:space="preserve"> - </v>
          </cell>
          <cell r="T991">
            <v>0</v>
          </cell>
        </row>
        <row r="992">
          <cell r="S992" t="str">
            <v xml:space="preserve"> - </v>
          </cell>
          <cell r="T992">
            <v>0</v>
          </cell>
        </row>
        <row r="993">
          <cell r="S993" t="str">
            <v xml:space="preserve"> - </v>
          </cell>
          <cell r="T993">
            <v>0</v>
          </cell>
        </row>
        <row r="994">
          <cell r="S994" t="str">
            <v xml:space="preserve"> - </v>
          </cell>
          <cell r="T994">
            <v>0</v>
          </cell>
        </row>
        <row r="995">
          <cell r="S995" t="str">
            <v xml:space="preserve"> - </v>
          </cell>
          <cell r="T995">
            <v>0</v>
          </cell>
        </row>
        <row r="996">
          <cell r="S996" t="str">
            <v xml:space="preserve"> - </v>
          </cell>
          <cell r="T996">
            <v>0</v>
          </cell>
        </row>
        <row r="997">
          <cell r="S997" t="str">
            <v xml:space="preserve"> - </v>
          </cell>
          <cell r="T997">
            <v>0</v>
          </cell>
        </row>
        <row r="998">
          <cell r="S998" t="str">
            <v xml:space="preserve"> - </v>
          </cell>
          <cell r="T998">
            <v>0</v>
          </cell>
        </row>
        <row r="999">
          <cell r="S999" t="str">
            <v xml:space="preserve"> - </v>
          </cell>
          <cell r="T999">
            <v>0</v>
          </cell>
        </row>
        <row r="1000">
          <cell r="S1000" t="str">
            <v xml:space="preserve"> - </v>
          </cell>
          <cell r="T1000">
            <v>0</v>
          </cell>
        </row>
        <row r="1001">
          <cell r="S1001" t="str">
            <v xml:space="preserve"> - </v>
          </cell>
          <cell r="T1001">
            <v>0</v>
          </cell>
        </row>
        <row r="1002">
          <cell r="S1002" t="str">
            <v xml:space="preserve"> - </v>
          </cell>
          <cell r="T1002">
            <v>0</v>
          </cell>
        </row>
        <row r="1003">
          <cell r="S1003" t="str">
            <v xml:space="preserve"> - </v>
          </cell>
          <cell r="T1003">
            <v>0</v>
          </cell>
        </row>
        <row r="1004">
          <cell r="S1004" t="str">
            <v xml:space="preserve"> - </v>
          </cell>
          <cell r="T1004">
            <v>0</v>
          </cell>
        </row>
        <row r="1005">
          <cell r="S1005" t="str">
            <v xml:space="preserve"> - </v>
          </cell>
          <cell r="T1005">
            <v>0</v>
          </cell>
        </row>
        <row r="1006">
          <cell r="S1006" t="str">
            <v xml:space="preserve"> - </v>
          </cell>
          <cell r="T1006">
            <v>0</v>
          </cell>
        </row>
        <row r="1007">
          <cell r="S1007" t="str">
            <v xml:space="preserve"> - </v>
          </cell>
          <cell r="T1007">
            <v>0</v>
          </cell>
        </row>
        <row r="1008">
          <cell r="S1008" t="str">
            <v xml:space="preserve"> - </v>
          </cell>
          <cell r="T1008">
            <v>0</v>
          </cell>
        </row>
        <row r="1009">
          <cell r="S1009" t="str">
            <v xml:space="preserve"> - </v>
          </cell>
          <cell r="T1009">
            <v>0</v>
          </cell>
        </row>
        <row r="1010">
          <cell r="S1010" t="str">
            <v xml:space="preserve"> - </v>
          </cell>
          <cell r="T1010">
            <v>0</v>
          </cell>
        </row>
        <row r="1011">
          <cell r="S1011" t="str">
            <v xml:space="preserve"> - </v>
          </cell>
          <cell r="T1011">
            <v>0</v>
          </cell>
        </row>
        <row r="1012">
          <cell r="S1012" t="str">
            <v xml:space="preserve"> - </v>
          </cell>
          <cell r="T1012">
            <v>0</v>
          </cell>
        </row>
        <row r="1013">
          <cell r="S1013" t="str">
            <v xml:space="preserve"> - </v>
          </cell>
          <cell r="T1013">
            <v>0</v>
          </cell>
        </row>
        <row r="1014">
          <cell r="S1014" t="str">
            <v xml:space="preserve"> - </v>
          </cell>
          <cell r="T1014">
            <v>0</v>
          </cell>
        </row>
        <row r="1015">
          <cell r="S1015" t="str">
            <v xml:space="preserve"> - </v>
          </cell>
          <cell r="T1015">
            <v>0</v>
          </cell>
        </row>
        <row r="1016">
          <cell r="S1016" t="str">
            <v xml:space="preserve"> - </v>
          </cell>
          <cell r="T1016">
            <v>0</v>
          </cell>
        </row>
        <row r="1017">
          <cell r="S1017" t="str">
            <v xml:space="preserve"> - </v>
          </cell>
          <cell r="T1017">
            <v>0</v>
          </cell>
        </row>
        <row r="1018">
          <cell r="S1018" t="str">
            <v xml:space="preserve"> - </v>
          </cell>
          <cell r="T1018">
            <v>0</v>
          </cell>
        </row>
        <row r="1019">
          <cell r="S1019" t="str">
            <v xml:space="preserve"> - </v>
          </cell>
          <cell r="T1019">
            <v>0</v>
          </cell>
        </row>
        <row r="1020">
          <cell r="S1020" t="str">
            <v xml:space="preserve"> - </v>
          </cell>
          <cell r="T1020">
            <v>0</v>
          </cell>
        </row>
        <row r="1021">
          <cell r="S1021" t="str">
            <v xml:space="preserve"> - </v>
          </cell>
          <cell r="T1021">
            <v>0</v>
          </cell>
        </row>
        <row r="1022">
          <cell r="S1022" t="str">
            <v xml:space="preserve"> - </v>
          </cell>
          <cell r="T1022">
            <v>0</v>
          </cell>
        </row>
        <row r="1023">
          <cell r="S1023" t="str">
            <v xml:space="preserve"> - </v>
          </cell>
          <cell r="T1023">
            <v>0</v>
          </cell>
        </row>
        <row r="1024">
          <cell r="S1024" t="str">
            <v xml:space="preserve"> - </v>
          </cell>
          <cell r="T1024">
            <v>0</v>
          </cell>
        </row>
        <row r="1025">
          <cell r="S1025" t="str">
            <v xml:space="preserve"> - </v>
          </cell>
          <cell r="T1025">
            <v>0</v>
          </cell>
        </row>
        <row r="1026">
          <cell r="S1026" t="str">
            <v xml:space="preserve"> - </v>
          </cell>
          <cell r="T1026">
            <v>0</v>
          </cell>
        </row>
        <row r="1027">
          <cell r="S1027" t="str">
            <v xml:space="preserve"> - </v>
          </cell>
          <cell r="T1027">
            <v>0</v>
          </cell>
        </row>
        <row r="1028">
          <cell r="S1028" t="str">
            <v xml:space="preserve"> - </v>
          </cell>
          <cell r="T1028">
            <v>0</v>
          </cell>
        </row>
        <row r="1029">
          <cell r="S1029" t="str">
            <v xml:space="preserve"> - </v>
          </cell>
          <cell r="T1029">
            <v>0</v>
          </cell>
        </row>
        <row r="1030">
          <cell r="S1030" t="str">
            <v xml:space="preserve"> - </v>
          </cell>
          <cell r="T1030">
            <v>0</v>
          </cell>
        </row>
        <row r="1031">
          <cell r="S1031" t="str">
            <v xml:space="preserve"> - </v>
          </cell>
          <cell r="T1031">
            <v>0</v>
          </cell>
        </row>
        <row r="1032">
          <cell r="S1032" t="str">
            <v xml:space="preserve"> - </v>
          </cell>
          <cell r="T1032">
            <v>0</v>
          </cell>
        </row>
        <row r="1033">
          <cell r="S1033" t="str">
            <v xml:space="preserve"> - </v>
          </cell>
          <cell r="T1033">
            <v>0</v>
          </cell>
        </row>
        <row r="1034">
          <cell r="S1034" t="str">
            <v xml:space="preserve"> - </v>
          </cell>
          <cell r="T1034">
            <v>0</v>
          </cell>
        </row>
        <row r="1035">
          <cell r="S1035" t="str">
            <v xml:space="preserve"> - </v>
          </cell>
          <cell r="T1035">
            <v>0</v>
          </cell>
        </row>
        <row r="1036">
          <cell r="S1036" t="str">
            <v xml:space="preserve"> - </v>
          </cell>
          <cell r="T1036">
            <v>0</v>
          </cell>
        </row>
        <row r="1037">
          <cell r="S1037" t="str">
            <v xml:space="preserve"> - </v>
          </cell>
          <cell r="T1037">
            <v>0</v>
          </cell>
        </row>
        <row r="1038">
          <cell r="S1038" t="str">
            <v xml:space="preserve"> - </v>
          </cell>
          <cell r="T1038">
            <v>0</v>
          </cell>
        </row>
        <row r="1039">
          <cell r="S1039" t="str">
            <v xml:space="preserve"> - </v>
          </cell>
          <cell r="T1039">
            <v>0</v>
          </cell>
        </row>
        <row r="1040">
          <cell r="S1040" t="str">
            <v xml:space="preserve"> - </v>
          </cell>
          <cell r="T1040">
            <v>0</v>
          </cell>
        </row>
        <row r="1041">
          <cell r="S1041" t="str">
            <v xml:space="preserve"> - </v>
          </cell>
          <cell r="T1041">
            <v>0</v>
          </cell>
        </row>
        <row r="1042">
          <cell r="S1042" t="str">
            <v xml:space="preserve"> - </v>
          </cell>
          <cell r="T1042">
            <v>0</v>
          </cell>
        </row>
        <row r="1043">
          <cell r="S1043" t="str">
            <v xml:space="preserve"> - </v>
          </cell>
          <cell r="T1043">
            <v>0</v>
          </cell>
        </row>
        <row r="1044">
          <cell r="S1044" t="str">
            <v xml:space="preserve"> - </v>
          </cell>
          <cell r="T1044">
            <v>0</v>
          </cell>
        </row>
        <row r="1045">
          <cell r="S1045" t="str">
            <v xml:space="preserve"> - </v>
          </cell>
          <cell r="T1045">
            <v>0</v>
          </cell>
        </row>
        <row r="1046">
          <cell r="S1046" t="str">
            <v xml:space="preserve"> - </v>
          </cell>
          <cell r="T1046">
            <v>0</v>
          </cell>
        </row>
        <row r="1047">
          <cell r="S1047" t="str">
            <v xml:space="preserve"> - </v>
          </cell>
          <cell r="T1047">
            <v>0</v>
          </cell>
        </row>
        <row r="1048">
          <cell r="S1048" t="str">
            <v xml:space="preserve"> - </v>
          </cell>
          <cell r="T1048">
            <v>0</v>
          </cell>
        </row>
        <row r="1049">
          <cell r="S1049" t="str">
            <v xml:space="preserve"> - </v>
          </cell>
          <cell r="T1049">
            <v>0</v>
          </cell>
        </row>
        <row r="1050">
          <cell r="S1050" t="str">
            <v xml:space="preserve"> - </v>
          </cell>
          <cell r="T1050">
            <v>0</v>
          </cell>
        </row>
        <row r="1051">
          <cell r="S1051" t="str">
            <v xml:space="preserve"> - </v>
          </cell>
          <cell r="T1051">
            <v>0</v>
          </cell>
        </row>
        <row r="1052">
          <cell r="S1052" t="str">
            <v xml:space="preserve"> - </v>
          </cell>
          <cell r="T1052">
            <v>0</v>
          </cell>
        </row>
        <row r="1053">
          <cell r="S1053" t="str">
            <v xml:space="preserve"> - </v>
          </cell>
          <cell r="T1053">
            <v>0</v>
          </cell>
        </row>
        <row r="1054">
          <cell r="S1054" t="str">
            <v xml:space="preserve"> - </v>
          </cell>
          <cell r="T1054">
            <v>0</v>
          </cell>
        </row>
        <row r="1055">
          <cell r="S1055" t="str">
            <v xml:space="preserve"> - </v>
          </cell>
          <cell r="T1055">
            <v>0</v>
          </cell>
        </row>
        <row r="1056">
          <cell r="S1056" t="str">
            <v xml:space="preserve"> - </v>
          </cell>
          <cell r="T1056">
            <v>0</v>
          </cell>
        </row>
        <row r="1057">
          <cell r="S1057" t="str">
            <v xml:space="preserve"> - </v>
          </cell>
          <cell r="T1057">
            <v>0</v>
          </cell>
        </row>
        <row r="1058">
          <cell r="S1058" t="str">
            <v xml:space="preserve"> - </v>
          </cell>
          <cell r="T1058">
            <v>0</v>
          </cell>
        </row>
        <row r="1059">
          <cell r="S1059" t="str">
            <v xml:space="preserve"> - </v>
          </cell>
          <cell r="T1059">
            <v>0</v>
          </cell>
        </row>
        <row r="1060">
          <cell r="S1060" t="str">
            <v xml:space="preserve"> - </v>
          </cell>
          <cell r="T1060">
            <v>0</v>
          </cell>
        </row>
        <row r="1061">
          <cell r="S1061" t="str">
            <v xml:space="preserve"> - </v>
          </cell>
          <cell r="T1061">
            <v>0</v>
          </cell>
        </row>
        <row r="1062">
          <cell r="S1062" t="str">
            <v xml:space="preserve"> - </v>
          </cell>
          <cell r="T1062">
            <v>0</v>
          </cell>
        </row>
        <row r="1063">
          <cell r="S1063" t="str">
            <v xml:space="preserve"> - </v>
          </cell>
          <cell r="T1063">
            <v>0</v>
          </cell>
        </row>
        <row r="1064">
          <cell r="S1064" t="str">
            <v xml:space="preserve"> - </v>
          </cell>
          <cell r="T1064">
            <v>0</v>
          </cell>
        </row>
        <row r="1065">
          <cell r="S1065" t="str">
            <v xml:space="preserve"> - </v>
          </cell>
          <cell r="T1065">
            <v>0</v>
          </cell>
        </row>
        <row r="1066">
          <cell r="S1066" t="str">
            <v xml:space="preserve"> - </v>
          </cell>
          <cell r="T1066">
            <v>0</v>
          </cell>
        </row>
        <row r="1067">
          <cell r="S1067" t="str">
            <v xml:space="preserve"> - </v>
          </cell>
          <cell r="T1067">
            <v>0</v>
          </cell>
        </row>
        <row r="1068">
          <cell r="S1068" t="str">
            <v xml:space="preserve"> - </v>
          </cell>
          <cell r="T1068">
            <v>0</v>
          </cell>
        </row>
        <row r="1069">
          <cell r="S1069" t="str">
            <v xml:space="preserve"> - </v>
          </cell>
          <cell r="T1069">
            <v>0</v>
          </cell>
        </row>
        <row r="1070">
          <cell r="S1070" t="str">
            <v xml:space="preserve"> - </v>
          </cell>
          <cell r="T1070">
            <v>0</v>
          </cell>
        </row>
        <row r="1071">
          <cell r="S1071" t="str">
            <v xml:space="preserve"> - </v>
          </cell>
          <cell r="T1071">
            <v>0</v>
          </cell>
        </row>
        <row r="1072">
          <cell r="S1072" t="str">
            <v xml:space="preserve"> - </v>
          </cell>
          <cell r="T1072">
            <v>0</v>
          </cell>
        </row>
        <row r="1073">
          <cell r="S1073" t="str">
            <v xml:space="preserve"> - </v>
          </cell>
          <cell r="T1073">
            <v>0</v>
          </cell>
        </row>
        <row r="1074">
          <cell r="S1074" t="str">
            <v xml:space="preserve"> - </v>
          </cell>
          <cell r="T1074">
            <v>0</v>
          </cell>
        </row>
        <row r="1075">
          <cell r="S1075" t="str">
            <v xml:space="preserve"> - </v>
          </cell>
          <cell r="T1075">
            <v>0</v>
          </cell>
        </row>
        <row r="1076">
          <cell r="S1076" t="str">
            <v xml:space="preserve"> - </v>
          </cell>
          <cell r="T1076">
            <v>0</v>
          </cell>
        </row>
        <row r="1077">
          <cell r="S1077" t="str">
            <v xml:space="preserve"> - </v>
          </cell>
          <cell r="T1077">
            <v>0</v>
          </cell>
        </row>
        <row r="1078">
          <cell r="S1078" t="str">
            <v xml:space="preserve"> - </v>
          </cell>
          <cell r="T1078">
            <v>0</v>
          </cell>
        </row>
        <row r="1079">
          <cell r="S1079" t="str">
            <v xml:space="preserve"> - </v>
          </cell>
          <cell r="T1079">
            <v>0</v>
          </cell>
        </row>
        <row r="1080">
          <cell r="S1080" t="str">
            <v xml:space="preserve"> - </v>
          </cell>
          <cell r="T1080">
            <v>0</v>
          </cell>
        </row>
        <row r="1081">
          <cell r="S1081" t="str">
            <v xml:space="preserve"> - </v>
          </cell>
          <cell r="T1081">
            <v>0</v>
          </cell>
        </row>
        <row r="1082">
          <cell r="S1082" t="str">
            <v xml:space="preserve"> - </v>
          </cell>
          <cell r="T1082">
            <v>0</v>
          </cell>
        </row>
        <row r="1083">
          <cell r="S1083" t="str">
            <v xml:space="preserve"> - </v>
          </cell>
          <cell r="T1083">
            <v>0</v>
          </cell>
        </row>
        <row r="1084">
          <cell r="S1084" t="str">
            <v xml:space="preserve"> - </v>
          </cell>
          <cell r="T1084">
            <v>0</v>
          </cell>
        </row>
        <row r="1085">
          <cell r="S1085" t="str">
            <v xml:space="preserve"> - </v>
          </cell>
          <cell r="T1085">
            <v>0</v>
          </cell>
        </row>
        <row r="1086">
          <cell r="S1086" t="str">
            <v xml:space="preserve"> - </v>
          </cell>
          <cell r="T1086">
            <v>0</v>
          </cell>
        </row>
        <row r="1087">
          <cell r="S1087" t="str">
            <v xml:space="preserve"> - </v>
          </cell>
          <cell r="T1087">
            <v>0</v>
          </cell>
        </row>
        <row r="1088">
          <cell r="S1088" t="str">
            <v xml:space="preserve"> - </v>
          </cell>
          <cell r="T1088">
            <v>0</v>
          </cell>
        </row>
        <row r="1089">
          <cell r="S1089" t="str">
            <v xml:space="preserve"> - </v>
          </cell>
          <cell r="T1089">
            <v>0</v>
          </cell>
        </row>
        <row r="1090">
          <cell r="S1090" t="str">
            <v xml:space="preserve"> - </v>
          </cell>
          <cell r="T1090">
            <v>0</v>
          </cell>
        </row>
        <row r="1091">
          <cell r="S1091" t="str">
            <v xml:space="preserve"> - </v>
          </cell>
          <cell r="T1091">
            <v>0</v>
          </cell>
        </row>
        <row r="1092">
          <cell r="S1092" t="str">
            <v xml:space="preserve"> - </v>
          </cell>
          <cell r="T1092">
            <v>0</v>
          </cell>
        </row>
        <row r="1093">
          <cell r="S1093" t="str">
            <v xml:space="preserve"> - </v>
          </cell>
          <cell r="T1093">
            <v>0</v>
          </cell>
        </row>
        <row r="1094">
          <cell r="S1094" t="str">
            <v xml:space="preserve"> - </v>
          </cell>
          <cell r="T1094">
            <v>0</v>
          </cell>
        </row>
        <row r="1095">
          <cell r="S1095" t="str">
            <v xml:space="preserve"> - </v>
          </cell>
          <cell r="T1095">
            <v>0</v>
          </cell>
        </row>
        <row r="1096">
          <cell r="S1096" t="str">
            <v xml:space="preserve"> - </v>
          </cell>
          <cell r="T1096">
            <v>0</v>
          </cell>
        </row>
        <row r="1097">
          <cell r="S1097" t="str">
            <v xml:space="preserve"> - </v>
          </cell>
          <cell r="T1097">
            <v>0</v>
          </cell>
        </row>
        <row r="1098">
          <cell r="S1098" t="str">
            <v xml:space="preserve"> - </v>
          </cell>
          <cell r="T1098">
            <v>0</v>
          </cell>
        </row>
        <row r="1099">
          <cell r="S1099" t="str">
            <v xml:space="preserve"> - </v>
          </cell>
          <cell r="T1099">
            <v>0</v>
          </cell>
        </row>
        <row r="1100">
          <cell r="S1100" t="str">
            <v xml:space="preserve"> - </v>
          </cell>
          <cell r="T1100">
            <v>0</v>
          </cell>
        </row>
        <row r="1101">
          <cell r="S1101" t="str">
            <v xml:space="preserve"> - </v>
          </cell>
          <cell r="T1101">
            <v>0</v>
          </cell>
        </row>
        <row r="1102">
          <cell r="S1102" t="str">
            <v xml:space="preserve"> - </v>
          </cell>
          <cell r="T1102">
            <v>0</v>
          </cell>
        </row>
        <row r="1103">
          <cell r="S1103" t="str">
            <v xml:space="preserve"> - </v>
          </cell>
          <cell r="T1103">
            <v>0</v>
          </cell>
        </row>
        <row r="1104">
          <cell r="S1104" t="str">
            <v xml:space="preserve"> - </v>
          </cell>
          <cell r="T1104">
            <v>0</v>
          </cell>
        </row>
        <row r="1105">
          <cell r="S1105" t="str">
            <v xml:space="preserve"> - </v>
          </cell>
          <cell r="T1105">
            <v>0</v>
          </cell>
        </row>
        <row r="1106">
          <cell r="S1106" t="str">
            <v xml:space="preserve"> - </v>
          </cell>
          <cell r="T1106">
            <v>0</v>
          </cell>
        </row>
        <row r="1107">
          <cell r="S1107" t="str">
            <v xml:space="preserve"> - </v>
          </cell>
          <cell r="T1107">
            <v>0</v>
          </cell>
        </row>
        <row r="1108">
          <cell r="S1108" t="str">
            <v xml:space="preserve"> - </v>
          </cell>
          <cell r="T1108">
            <v>0</v>
          </cell>
        </row>
        <row r="1109">
          <cell r="S1109" t="str">
            <v xml:space="preserve"> - </v>
          </cell>
          <cell r="T1109">
            <v>0</v>
          </cell>
        </row>
        <row r="1110">
          <cell r="S1110" t="str">
            <v xml:space="preserve"> - </v>
          </cell>
          <cell r="T1110">
            <v>0</v>
          </cell>
        </row>
        <row r="1111">
          <cell r="S1111" t="str">
            <v xml:space="preserve"> - </v>
          </cell>
          <cell r="T1111">
            <v>0</v>
          </cell>
        </row>
        <row r="1112">
          <cell r="S1112" t="str">
            <v xml:space="preserve"> - </v>
          </cell>
          <cell r="T1112">
            <v>0</v>
          </cell>
        </row>
        <row r="1113">
          <cell r="S1113" t="str">
            <v xml:space="preserve"> - </v>
          </cell>
          <cell r="T1113">
            <v>0</v>
          </cell>
        </row>
        <row r="1114">
          <cell r="S1114" t="str">
            <v xml:space="preserve"> - </v>
          </cell>
          <cell r="T1114">
            <v>0</v>
          </cell>
        </row>
        <row r="1115">
          <cell r="S1115" t="str">
            <v xml:space="preserve"> - </v>
          </cell>
          <cell r="T1115">
            <v>0</v>
          </cell>
        </row>
        <row r="1116">
          <cell r="S1116" t="str">
            <v xml:space="preserve"> - </v>
          </cell>
          <cell r="T1116">
            <v>0</v>
          </cell>
        </row>
        <row r="1117">
          <cell r="S1117" t="str">
            <v xml:space="preserve"> - </v>
          </cell>
          <cell r="T1117">
            <v>0</v>
          </cell>
        </row>
        <row r="1118">
          <cell r="S1118" t="str">
            <v xml:space="preserve"> - </v>
          </cell>
          <cell r="T1118">
            <v>0</v>
          </cell>
        </row>
        <row r="1119">
          <cell r="S1119" t="str">
            <v xml:space="preserve"> - </v>
          </cell>
          <cell r="T1119">
            <v>0</v>
          </cell>
        </row>
        <row r="1120">
          <cell r="S1120" t="str">
            <v xml:space="preserve"> - </v>
          </cell>
          <cell r="T1120">
            <v>0</v>
          </cell>
        </row>
        <row r="1121">
          <cell r="S1121" t="str">
            <v xml:space="preserve"> - </v>
          </cell>
          <cell r="T1121">
            <v>0</v>
          </cell>
        </row>
        <row r="1122">
          <cell r="S1122" t="str">
            <v xml:space="preserve"> - </v>
          </cell>
          <cell r="T1122">
            <v>0</v>
          </cell>
        </row>
        <row r="1123">
          <cell r="S1123" t="str">
            <v xml:space="preserve"> - </v>
          </cell>
          <cell r="T1123">
            <v>0</v>
          </cell>
        </row>
        <row r="1124">
          <cell r="S1124" t="str">
            <v xml:space="preserve"> - </v>
          </cell>
          <cell r="T1124">
            <v>0</v>
          </cell>
        </row>
        <row r="1125">
          <cell r="S1125" t="str">
            <v xml:space="preserve"> - </v>
          </cell>
          <cell r="T1125">
            <v>0</v>
          </cell>
        </row>
        <row r="1126">
          <cell r="S1126" t="str">
            <v xml:space="preserve"> - </v>
          </cell>
          <cell r="T1126">
            <v>0</v>
          </cell>
        </row>
        <row r="1127">
          <cell r="S1127" t="str">
            <v xml:space="preserve"> - </v>
          </cell>
          <cell r="T1127">
            <v>0</v>
          </cell>
        </row>
        <row r="1128">
          <cell r="S1128" t="str">
            <v xml:space="preserve"> - </v>
          </cell>
          <cell r="T1128">
            <v>0</v>
          </cell>
        </row>
        <row r="1129">
          <cell r="S1129" t="str">
            <v xml:space="preserve"> - </v>
          </cell>
          <cell r="T1129">
            <v>0</v>
          </cell>
        </row>
        <row r="1130">
          <cell r="S1130" t="str">
            <v xml:space="preserve"> - </v>
          </cell>
          <cell r="T1130">
            <v>0</v>
          </cell>
        </row>
        <row r="1131">
          <cell r="S1131" t="str">
            <v xml:space="preserve"> - </v>
          </cell>
          <cell r="T1131">
            <v>0</v>
          </cell>
        </row>
        <row r="1132">
          <cell r="S1132" t="str">
            <v xml:space="preserve"> - </v>
          </cell>
          <cell r="T1132">
            <v>0</v>
          </cell>
        </row>
        <row r="1133">
          <cell r="S1133" t="str">
            <v xml:space="preserve"> - </v>
          </cell>
          <cell r="T1133">
            <v>0</v>
          </cell>
        </row>
        <row r="1134">
          <cell r="S1134" t="str">
            <v xml:space="preserve"> - </v>
          </cell>
          <cell r="T1134">
            <v>0</v>
          </cell>
        </row>
        <row r="1135">
          <cell r="S1135" t="str">
            <v xml:space="preserve"> - </v>
          </cell>
          <cell r="T1135">
            <v>0</v>
          </cell>
        </row>
        <row r="1136">
          <cell r="S1136" t="str">
            <v xml:space="preserve"> - </v>
          </cell>
          <cell r="T1136">
            <v>0</v>
          </cell>
        </row>
        <row r="1137">
          <cell r="S1137" t="str">
            <v xml:space="preserve"> - </v>
          </cell>
          <cell r="T1137">
            <v>0</v>
          </cell>
        </row>
        <row r="1138">
          <cell r="S1138" t="str">
            <v xml:space="preserve"> - </v>
          </cell>
          <cell r="T1138">
            <v>0</v>
          </cell>
        </row>
        <row r="1139">
          <cell r="S1139" t="str">
            <v xml:space="preserve"> - </v>
          </cell>
          <cell r="T1139">
            <v>0</v>
          </cell>
        </row>
        <row r="1140">
          <cell r="S1140" t="str">
            <v xml:space="preserve"> - </v>
          </cell>
          <cell r="T1140">
            <v>0</v>
          </cell>
        </row>
        <row r="1141">
          <cell r="S1141" t="str">
            <v xml:space="preserve"> - </v>
          </cell>
          <cell r="T1141">
            <v>0</v>
          </cell>
        </row>
        <row r="1142">
          <cell r="S1142" t="str">
            <v xml:space="preserve"> - </v>
          </cell>
          <cell r="T1142">
            <v>0</v>
          </cell>
        </row>
        <row r="1143">
          <cell r="S1143" t="str">
            <v xml:space="preserve"> - </v>
          </cell>
          <cell r="T1143">
            <v>0</v>
          </cell>
        </row>
        <row r="1144">
          <cell r="S1144" t="str">
            <v xml:space="preserve"> - </v>
          </cell>
          <cell r="T1144">
            <v>0</v>
          </cell>
        </row>
        <row r="1145">
          <cell r="S1145" t="str">
            <v xml:space="preserve"> - </v>
          </cell>
          <cell r="T1145">
            <v>0</v>
          </cell>
        </row>
        <row r="1146">
          <cell r="S1146" t="str">
            <v xml:space="preserve"> - </v>
          </cell>
          <cell r="T1146">
            <v>0</v>
          </cell>
        </row>
        <row r="1147">
          <cell r="S1147" t="str">
            <v xml:space="preserve"> - </v>
          </cell>
          <cell r="T1147">
            <v>0</v>
          </cell>
        </row>
        <row r="1148">
          <cell r="S1148" t="str">
            <v xml:space="preserve"> - </v>
          </cell>
          <cell r="T1148">
            <v>0</v>
          </cell>
        </row>
        <row r="1149">
          <cell r="S1149" t="str">
            <v xml:space="preserve"> - </v>
          </cell>
          <cell r="T1149">
            <v>0</v>
          </cell>
        </row>
        <row r="1150">
          <cell r="S1150" t="str">
            <v xml:space="preserve"> - </v>
          </cell>
          <cell r="T1150">
            <v>0</v>
          </cell>
        </row>
        <row r="1151">
          <cell r="S1151" t="str">
            <v xml:space="preserve"> - </v>
          </cell>
          <cell r="T1151">
            <v>0</v>
          </cell>
        </row>
        <row r="1152">
          <cell r="S1152" t="str">
            <v xml:space="preserve"> - </v>
          </cell>
          <cell r="T1152">
            <v>0</v>
          </cell>
        </row>
        <row r="1153">
          <cell r="S1153" t="str">
            <v xml:space="preserve"> - </v>
          </cell>
          <cell r="T1153">
            <v>0</v>
          </cell>
        </row>
        <row r="1154">
          <cell r="S1154" t="str">
            <v xml:space="preserve"> - </v>
          </cell>
          <cell r="T1154">
            <v>0</v>
          </cell>
        </row>
        <row r="1155">
          <cell r="S1155" t="str">
            <v xml:space="preserve"> - </v>
          </cell>
          <cell r="T1155">
            <v>0</v>
          </cell>
        </row>
        <row r="1156">
          <cell r="S1156" t="str">
            <v xml:space="preserve"> - </v>
          </cell>
          <cell r="T1156">
            <v>0</v>
          </cell>
        </row>
        <row r="1157">
          <cell r="S1157" t="str">
            <v xml:space="preserve"> - </v>
          </cell>
          <cell r="T1157">
            <v>0</v>
          </cell>
        </row>
        <row r="1158">
          <cell r="S1158" t="str">
            <v xml:space="preserve"> - </v>
          </cell>
          <cell r="T1158">
            <v>0</v>
          </cell>
        </row>
        <row r="1159">
          <cell r="S1159" t="str">
            <v xml:space="preserve"> - </v>
          </cell>
          <cell r="T1159">
            <v>0</v>
          </cell>
        </row>
        <row r="1160">
          <cell r="S1160" t="str">
            <v xml:space="preserve"> - </v>
          </cell>
          <cell r="T1160">
            <v>0</v>
          </cell>
        </row>
        <row r="1161">
          <cell r="S1161" t="str">
            <v xml:space="preserve"> - </v>
          </cell>
          <cell r="T1161">
            <v>0</v>
          </cell>
        </row>
        <row r="1162">
          <cell r="S1162" t="str">
            <v xml:space="preserve"> - </v>
          </cell>
          <cell r="T1162">
            <v>0</v>
          </cell>
        </row>
        <row r="1163">
          <cell r="S1163" t="str">
            <v xml:space="preserve"> - </v>
          </cell>
          <cell r="T1163">
            <v>0</v>
          </cell>
        </row>
        <row r="1164">
          <cell r="S1164" t="str">
            <v xml:space="preserve"> - </v>
          </cell>
          <cell r="T1164">
            <v>0</v>
          </cell>
        </row>
        <row r="1165">
          <cell r="S1165" t="str">
            <v xml:space="preserve"> - </v>
          </cell>
          <cell r="T1165">
            <v>0</v>
          </cell>
        </row>
        <row r="1166">
          <cell r="S1166" t="str">
            <v xml:space="preserve"> - </v>
          </cell>
          <cell r="T1166">
            <v>0</v>
          </cell>
        </row>
        <row r="1167">
          <cell r="S1167" t="str">
            <v xml:space="preserve"> - </v>
          </cell>
          <cell r="T1167">
            <v>0</v>
          </cell>
        </row>
        <row r="1168">
          <cell r="S1168" t="str">
            <v xml:space="preserve"> - </v>
          </cell>
          <cell r="T1168">
            <v>0</v>
          </cell>
        </row>
        <row r="1169">
          <cell r="S1169" t="str">
            <v xml:space="preserve"> - </v>
          </cell>
          <cell r="T1169">
            <v>0</v>
          </cell>
        </row>
        <row r="1170">
          <cell r="S1170" t="str">
            <v xml:space="preserve"> - </v>
          </cell>
          <cell r="T1170">
            <v>0</v>
          </cell>
        </row>
        <row r="1171">
          <cell r="S1171" t="str">
            <v xml:space="preserve"> - </v>
          </cell>
          <cell r="T1171">
            <v>0</v>
          </cell>
        </row>
        <row r="1172">
          <cell r="S1172" t="str">
            <v xml:space="preserve"> - </v>
          </cell>
          <cell r="T1172">
            <v>0</v>
          </cell>
        </row>
        <row r="1173">
          <cell r="S1173" t="str">
            <v xml:space="preserve"> - </v>
          </cell>
          <cell r="T1173">
            <v>0</v>
          </cell>
        </row>
        <row r="1174">
          <cell r="S1174" t="str">
            <v xml:space="preserve"> - </v>
          </cell>
          <cell r="T1174">
            <v>0</v>
          </cell>
        </row>
        <row r="1175">
          <cell r="S1175" t="str">
            <v xml:space="preserve"> - </v>
          </cell>
          <cell r="T1175">
            <v>0</v>
          </cell>
        </row>
        <row r="1176">
          <cell r="S1176" t="str">
            <v xml:space="preserve"> - </v>
          </cell>
          <cell r="T1176">
            <v>0</v>
          </cell>
        </row>
        <row r="1177">
          <cell r="S1177" t="str">
            <v xml:space="preserve"> - </v>
          </cell>
          <cell r="T1177">
            <v>0</v>
          </cell>
        </row>
        <row r="1178">
          <cell r="S1178" t="str">
            <v xml:space="preserve"> - </v>
          </cell>
          <cell r="T1178">
            <v>0</v>
          </cell>
        </row>
        <row r="1179">
          <cell r="S1179" t="str">
            <v xml:space="preserve"> - </v>
          </cell>
          <cell r="T1179">
            <v>0</v>
          </cell>
        </row>
        <row r="1180">
          <cell r="S1180" t="str">
            <v xml:space="preserve"> - </v>
          </cell>
          <cell r="T1180">
            <v>0</v>
          </cell>
        </row>
        <row r="1181">
          <cell r="S1181" t="str">
            <v xml:space="preserve"> - </v>
          </cell>
          <cell r="T1181">
            <v>0</v>
          </cell>
        </row>
        <row r="1182">
          <cell r="S1182" t="str">
            <v xml:space="preserve"> - </v>
          </cell>
          <cell r="T1182">
            <v>0</v>
          </cell>
        </row>
        <row r="1183">
          <cell r="S1183" t="str">
            <v xml:space="preserve"> - </v>
          </cell>
          <cell r="T1183">
            <v>0</v>
          </cell>
        </row>
        <row r="1184">
          <cell r="S1184" t="str">
            <v xml:space="preserve"> - </v>
          </cell>
          <cell r="T1184">
            <v>0</v>
          </cell>
        </row>
        <row r="1185">
          <cell r="S1185" t="str">
            <v xml:space="preserve"> - </v>
          </cell>
          <cell r="T1185">
            <v>0</v>
          </cell>
        </row>
        <row r="1186">
          <cell r="S1186" t="str">
            <v xml:space="preserve"> - </v>
          </cell>
          <cell r="T1186">
            <v>0</v>
          </cell>
        </row>
        <row r="1187">
          <cell r="S1187" t="str">
            <v xml:space="preserve"> - </v>
          </cell>
          <cell r="T1187">
            <v>0</v>
          </cell>
        </row>
        <row r="1188">
          <cell r="S1188" t="str">
            <v xml:space="preserve"> - </v>
          </cell>
          <cell r="T1188">
            <v>0</v>
          </cell>
        </row>
        <row r="1189">
          <cell r="S1189" t="str">
            <v xml:space="preserve"> - </v>
          </cell>
          <cell r="T1189">
            <v>0</v>
          </cell>
        </row>
        <row r="1190">
          <cell r="S1190" t="str">
            <v xml:space="preserve"> - </v>
          </cell>
          <cell r="T1190">
            <v>0</v>
          </cell>
        </row>
        <row r="1191">
          <cell r="S1191" t="str">
            <v xml:space="preserve"> - </v>
          </cell>
          <cell r="T1191">
            <v>0</v>
          </cell>
        </row>
        <row r="1192">
          <cell r="S1192" t="str">
            <v xml:space="preserve"> - </v>
          </cell>
          <cell r="T1192">
            <v>0</v>
          </cell>
        </row>
        <row r="1193">
          <cell r="S1193" t="str">
            <v xml:space="preserve"> - </v>
          </cell>
          <cell r="T1193">
            <v>0</v>
          </cell>
        </row>
        <row r="1194">
          <cell r="S1194" t="str">
            <v xml:space="preserve"> - </v>
          </cell>
          <cell r="T1194">
            <v>0</v>
          </cell>
        </row>
        <row r="1195">
          <cell r="S1195" t="str">
            <v xml:space="preserve"> - </v>
          </cell>
          <cell r="T1195">
            <v>0</v>
          </cell>
        </row>
        <row r="1196">
          <cell r="S1196" t="str">
            <v xml:space="preserve"> - </v>
          </cell>
          <cell r="T1196">
            <v>0</v>
          </cell>
        </row>
        <row r="1197">
          <cell r="S1197" t="str">
            <v xml:space="preserve"> - </v>
          </cell>
          <cell r="T1197">
            <v>0</v>
          </cell>
        </row>
        <row r="1198">
          <cell r="S1198" t="str">
            <v xml:space="preserve"> - </v>
          </cell>
          <cell r="T1198">
            <v>0</v>
          </cell>
        </row>
        <row r="1199">
          <cell r="S1199" t="str">
            <v xml:space="preserve"> - </v>
          </cell>
          <cell r="T1199">
            <v>0</v>
          </cell>
        </row>
        <row r="1200">
          <cell r="S1200" t="str">
            <v xml:space="preserve"> - </v>
          </cell>
          <cell r="T1200">
            <v>0</v>
          </cell>
        </row>
        <row r="1201">
          <cell r="S1201" t="str">
            <v xml:space="preserve"> - </v>
          </cell>
          <cell r="T1201">
            <v>0</v>
          </cell>
        </row>
        <row r="1202">
          <cell r="S1202" t="str">
            <v xml:space="preserve"> - </v>
          </cell>
          <cell r="T1202">
            <v>0</v>
          </cell>
        </row>
        <row r="1203">
          <cell r="S1203" t="str">
            <v xml:space="preserve"> - </v>
          </cell>
          <cell r="T1203">
            <v>0</v>
          </cell>
        </row>
        <row r="1204">
          <cell r="S1204" t="str">
            <v xml:space="preserve"> - </v>
          </cell>
          <cell r="T1204">
            <v>0</v>
          </cell>
        </row>
        <row r="1205">
          <cell r="S1205" t="str">
            <v xml:space="preserve"> - </v>
          </cell>
          <cell r="T1205">
            <v>0</v>
          </cell>
        </row>
        <row r="1206">
          <cell r="S1206" t="str">
            <v xml:space="preserve"> - </v>
          </cell>
          <cell r="T1206">
            <v>0</v>
          </cell>
        </row>
        <row r="1207">
          <cell r="S1207" t="str">
            <v xml:space="preserve"> - </v>
          </cell>
          <cell r="T1207">
            <v>0</v>
          </cell>
        </row>
        <row r="1208">
          <cell r="S1208" t="str">
            <v xml:space="preserve"> - </v>
          </cell>
          <cell r="T1208">
            <v>0</v>
          </cell>
        </row>
        <row r="1209">
          <cell r="S1209" t="str">
            <v xml:space="preserve"> - </v>
          </cell>
          <cell r="T1209">
            <v>0</v>
          </cell>
        </row>
        <row r="1210">
          <cell r="S1210" t="str">
            <v xml:space="preserve"> - </v>
          </cell>
          <cell r="T1210">
            <v>0</v>
          </cell>
        </row>
        <row r="1211">
          <cell r="S1211" t="str">
            <v xml:space="preserve"> - </v>
          </cell>
          <cell r="T1211">
            <v>0</v>
          </cell>
        </row>
        <row r="1212">
          <cell r="S1212" t="str">
            <v xml:space="preserve"> - </v>
          </cell>
          <cell r="T1212">
            <v>0</v>
          </cell>
        </row>
        <row r="1213">
          <cell r="S1213" t="str">
            <v xml:space="preserve"> - </v>
          </cell>
          <cell r="T1213">
            <v>0</v>
          </cell>
        </row>
        <row r="1214">
          <cell r="S1214" t="str">
            <v xml:space="preserve"> - </v>
          </cell>
          <cell r="T1214">
            <v>0</v>
          </cell>
        </row>
        <row r="1215">
          <cell r="S1215" t="str">
            <v xml:space="preserve"> - </v>
          </cell>
          <cell r="T1215">
            <v>0</v>
          </cell>
        </row>
        <row r="1216">
          <cell r="S1216" t="str">
            <v xml:space="preserve"> - </v>
          </cell>
          <cell r="T1216">
            <v>0</v>
          </cell>
        </row>
        <row r="1217">
          <cell r="S1217" t="str">
            <v xml:space="preserve"> - </v>
          </cell>
          <cell r="T1217">
            <v>0</v>
          </cell>
        </row>
        <row r="1218">
          <cell r="S1218" t="str">
            <v xml:space="preserve"> - </v>
          </cell>
          <cell r="T1218">
            <v>0</v>
          </cell>
        </row>
        <row r="1219">
          <cell r="S1219" t="str">
            <v xml:space="preserve"> - </v>
          </cell>
          <cell r="T1219">
            <v>0</v>
          </cell>
        </row>
        <row r="1220">
          <cell r="S1220" t="str">
            <v xml:space="preserve"> - </v>
          </cell>
          <cell r="T1220">
            <v>0</v>
          </cell>
        </row>
        <row r="1221">
          <cell r="S1221" t="str">
            <v xml:space="preserve"> - </v>
          </cell>
          <cell r="T1221">
            <v>0</v>
          </cell>
        </row>
        <row r="1222">
          <cell r="S1222" t="str">
            <v xml:space="preserve"> - </v>
          </cell>
          <cell r="T1222">
            <v>0</v>
          </cell>
        </row>
        <row r="1223">
          <cell r="S1223" t="str">
            <v xml:space="preserve"> - </v>
          </cell>
          <cell r="T1223">
            <v>0</v>
          </cell>
        </row>
        <row r="1224">
          <cell r="S1224" t="str">
            <v xml:space="preserve"> - </v>
          </cell>
          <cell r="T1224">
            <v>0</v>
          </cell>
        </row>
        <row r="1225">
          <cell r="S1225" t="str">
            <v xml:space="preserve"> - </v>
          </cell>
          <cell r="T1225">
            <v>0</v>
          </cell>
        </row>
        <row r="1226">
          <cell r="S1226" t="str">
            <v xml:space="preserve"> - </v>
          </cell>
          <cell r="T1226">
            <v>0</v>
          </cell>
        </row>
        <row r="1227">
          <cell r="S1227" t="str">
            <v xml:space="preserve"> - </v>
          </cell>
          <cell r="T1227">
            <v>0</v>
          </cell>
        </row>
        <row r="1228">
          <cell r="S1228" t="str">
            <v xml:space="preserve"> - </v>
          </cell>
          <cell r="T1228">
            <v>0</v>
          </cell>
        </row>
        <row r="1229">
          <cell r="S1229" t="str">
            <v xml:space="preserve"> - </v>
          </cell>
          <cell r="T1229">
            <v>0</v>
          </cell>
        </row>
        <row r="1230">
          <cell r="S1230" t="str">
            <v xml:space="preserve"> - </v>
          </cell>
          <cell r="T1230">
            <v>0</v>
          </cell>
        </row>
        <row r="1231">
          <cell r="S1231" t="str">
            <v xml:space="preserve"> - </v>
          </cell>
          <cell r="T1231">
            <v>0</v>
          </cell>
        </row>
        <row r="1232">
          <cell r="S1232" t="str">
            <v xml:space="preserve"> - </v>
          </cell>
          <cell r="T1232">
            <v>0</v>
          </cell>
        </row>
        <row r="1233">
          <cell r="S1233" t="str">
            <v xml:space="preserve"> - </v>
          </cell>
          <cell r="T1233">
            <v>0</v>
          </cell>
        </row>
        <row r="1234">
          <cell r="S1234" t="str">
            <v xml:space="preserve"> - </v>
          </cell>
          <cell r="T1234">
            <v>0</v>
          </cell>
        </row>
        <row r="1235">
          <cell r="S1235" t="str">
            <v xml:space="preserve"> - </v>
          </cell>
          <cell r="T1235">
            <v>0</v>
          </cell>
        </row>
        <row r="1236">
          <cell r="S1236" t="str">
            <v xml:space="preserve"> - </v>
          </cell>
          <cell r="T1236">
            <v>0</v>
          </cell>
        </row>
        <row r="1237">
          <cell r="S1237" t="str">
            <v xml:space="preserve"> - </v>
          </cell>
          <cell r="T1237">
            <v>0</v>
          </cell>
        </row>
        <row r="1238">
          <cell r="S1238" t="str">
            <v xml:space="preserve"> - </v>
          </cell>
          <cell r="T1238">
            <v>0</v>
          </cell>
        </row>
        <row r="1239">
          <cell r="S1239" t="str">
            <v xml:space="preserve"> - </v>
          </cell>
          <cell r="T1239">
            <v>0</v>
          </cell>
        </row>
        <row r="1240">
          <cell r="S1240" t="str">
            <v xml:space="preserve"> - </v>
          </cell>
          <cell r="T1240">
            <v>0</v>
          </cell>
        </row>
        <row r="1241">
          <cell r="S1241" t="str">
            <v xml:space="preserve"> - </v>
          </cell>
          <cell r="T1241">
            <v>0</v>
          </cell>
        </row>
        <row r="1242">
          <cell r="S1242" t="str">
            <v xml:space="preserve"> - </v>
          </cell>
          <cell r="T1242">
            <v>0</v>
          </cell>
        </row>
        <row r="1243">
          <cell r="S1243" t="str">
            <v xml:space="preserve"> - </v>
          </cell>
          <cell r="T1243">
            <v>0</v>
          </cell>
        </row>
        <row r="1244">
          <cell r="S1244" t="str">
            <v xml:space="preserve"> - </v>
          </cell>
          <cell r="T1244">
            <v>0</v>
          </cell>
        </row>
        <row r="1245">
          <cell r="S1245" t="str">
            <v xml:space="preserve"> - </v>
          </cell>
          <cell r="T1245">
            <v>0</v>
          </cell>
        </row>
        <row r="1246">
          <cell r="S1246" t="str">
            <v xml:space="preserve"> - </v>
          </cell>
          <cell r="T1246">
            <v>0</v>
          </cell>
        </row>
        <row r="1247">
          <cell r="S1247" t="str">
            <v xml:space="preserve"> - </v>
          </cell>
          <cell r="T1247">
            <v>0</v>
          </cell>
        </row>
        <row r="1248">
          <cell r="S1248" t="str">
            <v xml:space="preserve"> - </v>
          </cell>
          <cell r="T1248">
            <v>0</v>
          </cell>
        </row>
        <row r="1249">
          <cell r="S1249" t="str">
            <v xml:space="preserve"> - </v>
          </cell>
          <cell r="T1249">
            <v>0</v>
          </cell>
        </row>
        <row r="1250">
          <cell r="S1250" t="str">
            <v xml:space="preserve"> - </v>
          </cell>
          <cell r="T1250">
            <v>0</v>
          </cell>
        </row>
        <row r="1251">
          <cell r="S1251" t="str">
            <v xml:space="preserve"> - </v>
          </cell>
          <cell r="T1251">
            <v>0</v>
          </cell>
        </row>
        <row r="1252">
          <cell r="S1252" t="str">
            <v xml:space="preserve"> - </v>
          </cell>
          <cell r="T1252">
            <v>0</v>
          </cell>
        </row>
        <row r="1253">
          <cell r="S1253" t="str">
            <v xml:space="preserve"> - </v>
          </cell>
          <cell r="T1253">
            <v>0</v>
          </cell>
        </row>
        <row r="1254">
          <cell r="S1254" t="str">
            <v xml:space="preserve"> - </v>
          </cell>
          <cell r="T1254">
            <v>0</v>
          </cell>
        </row>
        <row r="1255">
          <cell r="S1255" t="str">
            <v xml:space="preserve"> - </v>
          </cell>
          <cell r="T1255">
            <v>0</v>
          </cell>
        </row>
        <row r="1256">
          <cell r="S1256" t="str">
            <v xml:space="preserve"> - </v>
          </cell>
          <cell r="T1256">
            <v>0</v>
          </cell>
        </row>
        <row r="1257">
          <cell r="S1257" t="str">
            <v xml:space="preserve"> - </v>
          </cell>
          <cell r="T1257">
            <v>0</v>
          </cell>
        </row>
        <row r="1258">
          <cell r="S1258" t="str">
            <v xml:space="preserve"> - </v>
          </cell>
          <cell r="T1258">
            <v>0</v>
          </cell>
        </row>
        <row r="1259">
          <cell r="S1259" t="str">
            <v xml:space="preserve"> - </v>
          </cell>
          <cell r="T1259">
            <v>0</v>
          </cell>
        </row>
        <row r="1260">
          <cell r="S1260" t="str">
            <v xml:space="preserve"> - </v>
          </cell>
          <cell r="T1260">
            <v>0</v>
          </cell>
        </row>
        <row r="1261">
          <cell r="S1261" t="str">
            <v xml:space="preserve"> - </v>
          </cell>
          <cell r="T1261">
            <v>0</v>
          </cell>
        </row>
        <row r="1262">
          <cell r="S1262" t="str">
            <v xml:space="preserve"> - </v>
          </cell>
          <cell r="T1262">
            <v>0</v>
          </cell>
        </row>
        <row r="1263">
          <cell r="S1263" t="str">
            <v xml:space="preserve"> - </v>
          </cell>
          <cell r="T1263">
            <v>0</v>
          </cell>
        </row>
        <row r="1264">
          <cell r="S1264" t="str">
            <v xml:space="preserve"> - </v>
          </cell>
          <cell r="T1264">
            <v>0</v>
          </cell>
        </row>
        <row r="1265">
          <cell r="S1265" t="str">
            <v xml:space="preserve"> - </v>
          </cell>
          <cell r="T1265">
            <v>0</v>
          </cell>
        </row>
        <row r="1266">
          <cell r="S1266" t="str">
            <v xml:space="preserve"> - </v>
          </cell>
          <cell r="T1266">
            <v>0</v>
          </cell>
        </row>
        <row r="1267">
          <cell r="S1267" t="str">
            <v xml:space="preserve"> - </v>
          </cell>
          <cell r="T1267">
            <v>0</v>
          </cell>
        </row>
        <row r="1268">
          <cell r="S1268" t="str">
            <v xml:space="preserve"> - </v>
          </cell>
          <cell r="T1268">
            <v>0</v>
          </cell>
        </row>
        <row r="1269">
          <cell r="S1269" t="str">
            <v xml:space="preserve"> - </v>
          </cell>
          <cell r="T1269">
            <v>0</v>
          </cell>
        </row>
        <row r="1270">
          <cell r="S1270" t="str">
            <v xml:space="preserve"> - </v>
          </cell>
          <cell r="T1270">
            <v>0</v>
          </cell>
        </row>
        <row r="1271">
          <cell r="S1271" t="str">
            <v xml:space="preserve"> - </v>
          </cell>
          <cell r="T1271">
            <v>0</v>
          </cell>
        </row>
        <row r="1272">
          <cell r="S1272" t="str">
            <v xml:space="preserve"> - </v>
          </cell>
          <cell r="T1272">
            <v>0</v>
          </cell>
        </row>
        <row r="1273">
          <cell r="S1273" t="str">
            <v xml:space="preserve"> - </v>
          </cell>
          <cell r="T1273">
            <v>0</v>
          </cell>
        </row>
        <row r="1274">
          <cell r="S1274" t="str">
            <v xml:space="preserve"> - </v>
          </cell>
          <cell r="T1274">
            <v>0</v>
          </cell>
        </row>
        <row r="1275">
          <cell r="S1275" t="str">
            <v xml:space="preserve"> - </v>
          </cell>
          <cell r="T1275">
            <v>0</v>
          </cell>
        </row>
        <row r="1276">
          <cell r="S1276" t="str">
            <v xml:space="preserve"> - </v>
          </cell>
          <cell r="T1276">
            <v>0</v>
          </cell>
        </row>
        <row r="1277">
          <cell r="S1277" t="str">
            <v xml:space="preserve"> - </v>
          </cell>
          <cell r="T1277">
            <v>0</v>
          </cell>
        </row>
        <row r="1278">
          <cell r="S1278" t="str">
            <v xml:space="preserve"> - </v>
          </cell>
          <cell r="T1278">
            <v>0</v>
          </cell>
        </row>
        <row r="1279">
          <cell r="S1279" t="str">
            <v xml:space="preserve"> - </v>
          </cell>
          <cell r="T1279">
            <v>0</v>
          </cell>
        </row>
        <row r="1280">
          <cell r="S1280" t="str">
            <v xml:space="preserve"> - </v>
          </cell>
          <cell r="T1280">
            <v>0</v>
          </cell>
        </row>
        <row r="1281">
          <cell r="S1281" t="str">
            <v xml:space="preserve"> - </v>
          </cell>
          <cell r="T1281">
            <v>0</v>
          </cell>
        </row>
        <row r="1282">
          <cell r="S1282" t="str">
            <v xml:space="preserve"> - </v>
          </cell>
          <cell r="T1282">
            <v>0</v>
          </cell>
        </row>
        <row r="1283">
          <cell r="S1283" t="str">
            <v xml:space="preserve"> - </v>
          </cell>
          <cell r="T1283">
            <v>0</v>
          </cell>
        </row>
        <row r="1284">
          <cell r="S1284" t="str">
            <v xml:space="preserve"> - </v>
          </cell>
          <cell r="T1284">
            <v>0</v>
          </cell>
        </row>
        <row r="1285">
          <cell r="S1285" t="str">
            <v xml:space="preserve"> - </v>
          </cell>
          <cell r="T1285">
            <v>0</v>
          </cell>
        </row>
        <row r="1286">
          <cell r="S1286" t="str">
            <v xml:space="preserve"> - </v>
          </cell>
          <cell r="T1286">
            <v>0</v>
          </cell>
        </row>
        <row r="1287">
          <cell r="S1287" t="str">
            <v xml:space="preserve"> - </v>
          </cell>
          <cell r="T1287">
            <v>0</v>
          </cell>
        </row>
        <row r="1288">
          <cell r="S1288" t="str">
            <v xml:space="preserve"> - </v>
          </cell>
          <cell r="T1288">
            <v>0</v>
          </cell>
        </row>
        <row r="1289">
          <cell r="S1289" t="str">
            <v xml:space="preserve"> - </v>
          </cell>
          <cell r="T1289">
            <v>0</v>
          </cell>
        </row>
        <row r="1290">
          <cell r="S1290" t="str">
            <v xml:space="preserve"> - </v>
          </cell>
          <cell r="T1290">
            <v>0</v>
          </cell>
        </row>
        <row r="1291">
          <cell r="S1291" t="str">
            <v xml:space="preserve"> - </v>
          </cell>
          <cell r="T1291">
            <v>0</v>
          </cell>
        </row>
        <row r="1292">
          <cell r="S1292" t="str">
            <v xml:space="preserve"> - </v>
          </cell>
          <cell r="T1292">
            <v>0</v>
          </cell>
        </row>
        <row r="1293">
          <cell r="S1293" t="str">
            <v xml:space="preserve"> - </v>
          </cell>
          <cell r="T1293">
            <v>0</v>
          </cell>
        </row>
        <row r="1294">
          <cell r="S1294" t="str">
            <v xml:space="preserve"> - </v>
          </cell>
          <cell r="T1294">
            <v>0</v>
          </cell>
        </row>
        <row r="1295">
          <cell r="S1295" t="str">
            <v xml:space="preserve"> - </v>
          </cell>
          <cell r="T1295">
            <v>0</v>
          </cell>
        </row>
        <row r="1296">
          <cell r="S1296" t="str">
            <v xml:space="preserve"> - </v>
          </cell>
          <cell r="T1296">
            <v>0</v>
          </cell>
        </row>
        <row r="1297">
          <cell r="S1297" t="str">
            <v xml:space="preserve"> - </v>
          </cell>
          <cell r="T1297">
            <v>0</v>
          </cell>
        </row>
        <row r="1298">
          <cell r="S1298" t="str">
            <v xml:space="preserve"> - </v>
          </cell>
          <cell r="T1298">
            <v>0</v>
          </cell>
        </row>
        <row r="1299">
          <cell r="S1299" t="str">
            <v xml:space="preserve"> - </v>
          </cell>
          <cell r="T1299">
            <v>0</v>
          </cell>
        </row>
        <row r="1300">
          <cell r="S1300" t="str">
            <v xml:space="preserve"> - </v>
          </cell>
          <cell r="T1300">
            <v>0</v>
          </cell>
        </row>
        <row r="1301">
          <cell r="S1301" t="str">
            <v xml:space="preserve"> - </v>
          </cell>
          <cell r="T1301">
            <v>0</v>
          </cell>
        </row>
        <row r="1302">
          <cell r="S1302" t="str">
            <v xml:space="preserve"> - </v>
          </cell>
          <cell r="T1302">
            <v>0</v>
          </cell>
        </row>
        <row r="1303">
          <cell r="S1303" t="str">
            <v xml:space="preserve"> - </v>
          </cell>
          <cell r="T1303">
            <v>0</v>
          </cell>
        </row>
        <row r="1304">
          <cell r="S1304" t="str">
            <v xml:space="preserve"> - </v>
          </cell>
          <cell r="T1304">
            <v>0</v>
          </cell>
        </row>
        <row r="1305">
          <cell r="S1305" t="str">
            <v xml:space="preserve"> - </v>
          </cell>
          <cell r="T1305">
            <v>0</v>
          </cell>
        </row>
        <row r="1306">
          <cell r="S1306" t="str">
            <v xml:space="preserve"> - </v>
          </cell>
          <cell r="T1306">
            <v>0</v>
          </cell>
        </row>
        <row r="1307">
          <cell r="S1307" t="str">
            <v xml:space="preserve"> - </v>
          </cell>
          <cell r="T1307">
            <v>0</v>
          </cell>
        </row>
        <row r="1308">
          <cell r="S1308" t="str">
            <v xml:space="preserve"> - </v>
          </cell>
          <cell r="T1308">
            <v>0</v>
          </cell>
        </row>
        <row r="1309">
          <cell r="S1309" t="str">
            <v xml:space="preserve"> - </v>
          </cell>
          <cell r="T1309">
            <v>0</v>
          </cell>
        </row>
        <row r="1310">
          <cell r="S1310" t="str">
            <v xml:space="preserve"> - </v>
          </cell>
          <cell r="T1310">
            <v>0</v>
          </cell>
        </row>
        <row r="1311">
          <cell r="S1311" t="str">
            <v xml:space="preserve"> - </v>
          </cell>
          <cell r="T1311">
            <v>0</v>
          </cell>
        </row>
        <row r="1312">
          <cell r="S1312" t="str">
            <v xml:space="preserve"> - </v>
          </cell>
          <cell r="T1312">
            <v>0</v>
          </cell>
        </row>
        <row r="1313">
          <cell r="S1313" t="str">
            <v xml:space="preserve"> - </v>
          </cell>
          <cell r="T1313">
            <v>0</v>
          </cell>
        </row>
        <row r="1314">
          <cell r="S1314" t="str">
            <v xml:space="preserve"> - </v>
          </cell>
          <cell r="T1314">
            <v>0</v>
          </cell>
        </row>
        <row r="1315">
          <cell r="S1315" t="str">
            <v xml:space="preserve"> - </v>
          </cell>
          <cell r="T1315">
            <v>0</v>
          </cell>
        </row>
        <row r="1316">
          <cell r="S1316" t="str">
            <v xml:space="preserve"> - </v>
          </cell>
          <cell r="T1316">
            <v>0</v>
          </cell>
        </row>
        <row r="1317">
          <cell r="S1317" t="str">
            <v xml:space="preserve"> - </v>
          </cell>
          <cell r="T1317">
            <v>0</v>
          </cell>
        </row>
        <row r="1318">
          <cell r="S1318" t="str">
            <v xml:space="preserve"> - </v>
          </cell>
          <cell r="T1318">
            <v>0</v>
          </cell>
        </row>
        <row r="1319">
          <cell r="S1319" t="str">
            <v xml:space="preserve"> - </v>
          </cell>
          <cell r="T1319">
            <v>0</v>
          </cell>
        </row>
        <row r="1320">
          <cell r="S1320" t="str">
            <v xml:space="preserve"> - </v>
          </cell>
          <cell r="T1320">
            <v>0</v>
          </cell>
        </row>
        <row r="1321">
          <cell r="S1321" t="str">
            <v xml:space="preserve"> - </v>
          </cell>
          <cell r="T1321">
            <v>0</v>
          </cell>
        </row>
        <row r="1322">
          <cell r="S1322" t="str">
            <v xml:space="preserve"> - </v>
          </cell>
          <cell r="T1322">
            <v>0</v>
          </cell>
        </row>
        <row r="1323">
          <cell r="S1323" t="str">
            <v xml:space="preserve"> - </v>
          </cell>
          <cell r="T1323">
            <v>0</v>
          </cell>
        </row>
        <row r="1324">
          <cell r="S1324" t="str">
            <v xml:space="preserve"> - </v>
          </cell>
          <cell r="T1324">
            <v>0</v>
          </cell>
        </row>
        <row r="1325">
          <cell r="S1325" t="str">
            <v xml:space="preserve"> - </v>
          </cell>
          <cell r="T1325">
            <v>0</v>
          </cell>
        </row>
        <row r="1326">
          <cell r="S1326" t="str">
            <v xml:space="preserve"> - </v>
          </cell>
          <cell r="T1326">
            <v>0</v>
          </cell>
        </row>
        <row r="1327">
          <cell r="S1327" t="str">
            <v xml:space="preserve"> - </v>
          </cell>
          <cell r="T1327">
            <v>0</v>
          </cell>
        </row>
        <row r="1328">
          <cell r="S1328" t="str">
            <v xml:space="preserve"> - </v>
          </cell>
          <cell r="T1328">
            <v>0</v>
          </cell>
        </row>
        <row r="1329">
          <cell r="S1329" t="str">
            <v xml:space="preserve"> - </v>
          </cell>
          <cell r="T1329">
            <v>0</v>
          </cell>
        </row>
        <row r="1330">
          <cell r="S1330" t="str">
            <v xml:space="preserve"> - </v>
          </cell>
          <cell r="T1330">
            <v>0</v>
          </cell>
        </row>
        <row r="1331">
          <cell r="S1331" t="str">
            <v xml:space="preserve"> - </v>
          </cell>
          <cell r="T1331">
            <v>0</v>
          </cell>
        </row>
        <row r="1332">
          <cell r="S1332" t="str">
            <v xml:space="preserve"> - </v>
          </cell>
          <cell r="T1332">
            <v>0</v>
          </cell>
        </row>
        <row r="1333">
          <cell r="S1333" t="str">
            <v xml:space="preserve"> - </v>
          </cell>
          <cell r="T1333">
            <v>0</v>
          </cell>
        </row>
        <row r="1334">
          <cell r="S1334" t="str">
            <v xml:space="preserve"> - </v>
          </cell>
          <cell r="T1334">
            <v>0</v>
          </cell>
        </row>
        <row r="1335">
          <cell r="S1335" t="str">
            <v xml:space="preserve"> - </v>
          </cell>
          <cell r="T1335">
            <v>0</v>
          </cell>
        </row>
        <row r="1336">
          <cell r="S1336" t="str">
            <v xml:space="preserve"> - </v>
          </cell>
          <cell r="T1336">
            <v>0</v>
          </cell>
        </row>
        <row r="1337">
          <cell r="S1337" t="str">
            <v xml:space="preserve"> - </v>
          </cell>
          <cell r="T1337">
            <v>0</v>
          </cell>
        </row>
        <row r="1338">
          <cell r="S1338" t="str">
            <v xml:space="preserve"> - </v>
          </cell>
          <cell r="T1338">
            <v>0</v>
          </cell>
        </row>
        <row r="1339">
          <cell r="S1339" t="str">
            <v xml:space="preserve"> - </v>
          </cell>
          <cell r="T1339">
            <v>0</v>
          </cell>
        </row>
        <row r="1340">
          <cell r="S1340" t="str">
            <v xml:space="preserve"> - </v>
          </cell>
          <cell r="T1340">
            <v>0</v>
          </cell>
        </row>
        <row r="1341">
          <cell r="S1341" t="str">
            <v xml:space="preserve"> - </v>
          </cell>
          <cell r="T1341">
            <v>0</v>
          </cell>
        </row>
        <row r="1342">
          <cell r="S1342" t="str">
            <v xml:space="preserve"> - </v>
          </cell>
          <cell r="T1342">
            <v>0</v>
          </cell>
        </row>
        <row r="1343">
          <cell r="S1343" t="str">
            <v xml:space="preserve"> - </v>
          </cell>
          <cell r="T1343">
            <v>0</v>
          </cell>
        </row>
        <row r="1344">
          <cell r="S1344" t="str">
            <v xml:space="preserve"> - </v>
          </cell>
          <cell r="T1344">
            <v>0</v>
          </cell>
        </row>
        <row r="1345">
          <cell r="S1345" t="str">
            <v xml:space="preserve"> - </v>
          </cell>
          <cell r="T1345">
            <v>0</v>
          </cell>
        </row>
        <row r="1346">
          <cell r="S1346" t="str">
            <v xml:space="preserve"> - </v>
          </cell>
          <cell r="T1346">
            <v>0</v>
          </cell>
        </row>
        <row r="1347">
          <cell r="S1347" t="str">
            <v xml:space="preserve"> - </v>
          </cell>
          <cell r="T1347">
            <v>0</v>
          </cell>
        </row>
        <row r="1348">
          <cell r="S1348" t="str">
            <v xml:space="preserve"> - </v>
          </cell>
          <cell r="T1348">
            <v>0</v>
          </cell>
        </row>
        <row r="1349">
          <cell r="S1349" t="str">
            <v xml:space="preserve"> - </v>
          </cell>
          <cell r="T1349">
            <v>0</v>
          </cell>
        </row>
        <row r="1350">
          <cell r="S1350" t="str">
            <v xml:space="preserve"> - </v>
          </cell>
          <cell r="T1350">
            <v>0</v>
          </cell>
        </row>
        <row r="1351">
          <cell r="S1351" t="str">
            <v xml:space="preserve"> - </v>
          </cell>
          <cell r="T1351">
            <v>0</v>
          </cell>
        </row>
        <row r="1352">
          <cell r="S1352" t="str">
            <v xml:space="preserve"> - </v>
          </cell>
          <cell r="T1352">
            <v>0</v>
          </cell>
        </row>
        <row r="1353">
          <cell r="S1353" t="str">
            <v xml:space="preserve"> - </v>
          </cell>
          <cell r="T1353">
            <v>0</v>
          </cell>
        </row>
        <row r="1354">
          <cell r="S1354" t="str">
            <v xml:space="preserve"> - </v>
          </cell>
          <cell r="T1354">
            <v>0</v>
          </cell>
        </row>
        <row r="1355">
          <cell r="S1355" t="str">
            <v xml:space="preserve"> - </v>
          </cell>
          <cell r="T1355">
            <v>0</v>
          </cell>
        </row>
        <row r="1356">
          <cell r="S1356" t="str">
            <v xml:space="preserve"> - </v>
          </cell>
          <cell r="T1356">
            <v>0</v>
          </cell>
        </row>
        <row r="1357">
          <cell r="S1357" t="str">
            <v xml:space="preserve"> - </v>
          </cell>
          <cell r="T1357">
            <v>0</v>
          </cell>
        </row>
        <row r="1358">
          <cell r="S1358" t="str">
            <v xml:space="preserve"> - </v>
          </cell>
          <cell r="T1358">
            <v>0</v>
          </cell>
        </row>
        <row r="1359">
          <cell r="S1359" t="str">
            <v xml:space="preserve"> - </v>
          </cell>
          <cell r="T1359">
            <v>0</v>
          </cell>
        </row>
        <row r="1360">
          <cell r="S1360" t="str">
            <v xml:space="preserve"> - </v>
          </cell>
          <cell r="T1360">
            <v>0</v>
          </cell>
        </row>
        <row r="1361">
          <cell r="S1361" t="str">
            <v xml:space="preserve"> - </v>
          </cell>
          <cell r="T1361">
            <v>0</v>
          </cell>
        </row>
        <row r="1362">
          <cell r="S1362" t="str">
            <v xml:space="preserve"> - </v>
          </cell>
          <cell r="T1362">
            <v>0</v>
          </cell>
        </row>
        <row r="1363">
          <cell r="S1363" t="str">
            <v xml:space="preserve"> - </v>
          </cell>
          <cell r="T1363">
            <v>0</v>
          </cell>
        </row>
        <row r="1364">
          <cell r="S1364" t="str">
            <v xml:space="preserve"> - </v>
          </cell>
          <cell r="T1364">
            <v>0</v>
          </cell>
        </row>
        <row r="1365">
          <cell r="S1365" t="str">
            <v xml:space="preserve"> - </v>
          </cell>
          <cell r="T1365">
            <v>0</v>
          </cell>
        </row>
        <row r="1366">
          <cell r="S1366" t="str">
            <v xml:space="preserve"> - </v>
          </cell>
          <cell r="T1366">
            <v>0</v>
          </cell>
        </row>
        <row r="1367">
          <cell r="S1367" t="str">
            <v xml:space="preserve"> - </v>
          </cell>
          <cell r="T1367">
            <v>0</v>
          </cell>
        </row>
        <row r="1368">
          <cell r="S1368" t="str">
            <v xml:space="preserve"> - </v>
          </cell>
          <cell r="T1368">
            <v>0</v>
          </cell>
        </row>
        <row r="1369">
          <cell r="S1369" t="str">
            <v xml:space="preserve"> - </v>
          </cell>
          <cell r="T1369">
            <v>0</v>
          </cell>
        </row>
        <row r="1370">
          <cell r="S1370" t="str">
            <v xml:space="preserve"> - </v>
          </cell>
          <cell r="T1370">
            <v>0</v>
          </cell>
        </row>
        <row r="1371">
          <cell r="S1371" t="str">
            <v xml:space="preserve"> - </v>
          </cell>
          <cell r="T1371">
            <v>0</v>
          </cell>
        </row>
        <row r="1372">
          <cell r="S1372" t="str">
            <v xml:space="preserve"> - </v>
          </cell>
          <cell r="T1372">
            <v>0</v>
          </cell>
        </row>
        <row r="1373">
          <cell r="S1373" t="str">
            <v xml:space="preserve"> - </v>
          </cell>
          <cell r="T1373">
            <v>0</v>
          </cell>
        </row>
        <row r="1374">
          <cell r="S1374" t="str">
            <v xml:space="preserve"> - </v>
          </cell>
          <cell r="T1374">
            <v>0</v>
          </cell>
        </row>
        <row r="1375">
          <cell r="S1375" t="str">
            <v xml:space="preserve"> - </v>
          </cell>
          <cell r="T1375">
            <v>0</v>
          </cell>
        </row>
        <row r="1376">
          <cell r="S1376" t="str">
            <v xml:space="preserve"> - </v>
          </cell>
          <cell r="T1376">
            <v>0</v>
          </cell>
        </row>
        <row r="1377">
          <cell r="S1377" t="str">
            <v xml:space="preserve"> - </v>
          </cell>
          <cell r="T1377">
            <v>0</v>
          </cell>
        </row>
        <row r="1378">
          <cell r="S1378" t="str">
            <v xml:space="preserve"> - </v>
          </cell>
          <cell r="T1378">
            <v>0</v>
          </cell>
        </row>
        <row r="1379">
          <cell r="S1379" t="str">
            <v xml:space="preserve"> - </v>
          </cell>
          <cell r="T1379">
            <v>0</v>
          </cell>
        </row>
        <row r="1380">
          <cell r="S1380" t="str">
            <v xml:space="preserve"> - </v>
          </cell>
          <cell r="T1380">
            <v>0</v>
          </cell>
        </row>
        <row r="1381">
          <cell r="S1381" t="str">
            <v xml:space="preserve"> - </v>
          </cell>
          <cell r="T1381">
            <v>0</v>
          </cell>
        </row>
        <row r="1382">
          <cell r="S1382" t="str">
            <v xml:space="preserve"> - </v>
          </cell>
          <cell r="T1382">
            <v>0</v>
          </cell>
        </row>
        <row r="1383">
          <cell r="S1383" t="str">
            <v xml:space="preserve"> - </v>
          </cell>
          <cell r="T1383">
            <v>0</v>
          </cell>
        </row>
        <row r="1384">
          <cell r="S1384" t="str">
            <v xml:space="preserve"> - </v>
          </cell>
          <cell r="T1384">
            <v>0</v>
          </cell>
        </row>
        <row r="1385">
          <cell r="S1385" t="str">
            <v xml:space="preserve"> - </v>
          </cell>
          <cell r="T1385">
            <v>0</v>
          </cell>
        </row>
        <row r="1386">
          <cell r="S1386" t="str">
            <v xml:space="preserve"> - </v>
          </cell>
          <cell r="T1386">
            <v>0</v>
          </cell>
        </row>
        <row r="1387">
          <cell r="S1387" t="str">
            <v xml:space="preserve"> - </v>
          </cell>
          <cell r="T1387">
            <v>0</v>
          </cell>
        </row>
        <row r="1388">
          <cell r="S1388" t="str">
            <v xml:space="preserve"> - </v>
          </cell>
          <cell r="T1388">
            <v>0</v>
          </cell>
        </row>
        <row r="1389">
          <cell r="S1389" t="str">
            <v xml:space="preserve"> - </v>
          </cell>
          <cell r="T1389">
            <v>0</v>
          </cell>
        </row>
        <row r="1390">
          <cell r="S1390" t="str">
            <v xml:space="preserve"> - </v>
          </cell>
          <cell r="T1390">
            <v>0</v>
          </cell>
        </row>
        <row r="1391">
          <cell r="S1391" t="str">
            <v xml:space="preserve"> - </v>
          </cell>
          <cell r="T1391">
            <v>0</v>
          </cell>
        </row>
        <row r="1392">
          <cell r="S1392" t="str">
            <v xml:space="preserve"> - </v>
          </cell>
          <cell r="T1392">
            <v>0</v>
          </cell>
        </row>
        <row r="1393">
          <cell r="S1393" t="str">
            <v xml:space="preserve"> - </v>
          </cell>
          <cell r="T1393">
            <v>0</v>
          </cell>
        </row>
        <row r="1394">
          <cell r="S1394" t="str">
            <v xml:space="preserve"> - </v>
          </cell>
          <cell r="T1394">
            <v>0</v>
          </cell>
        </row>
        <row r="1395">
          <cell r="S1395" t="str">
            <v xml:space="preserve"> - </v>
          </cell>
          <cell r="T1395">
            <v>0</v>
          </cell>
        </row>
        <row r="1396">
          <cell r="S1396" t="str">
            <v xml:space="preserve"> - </v>
          </cell>
          <cell r="T1396">
            <v>0</v>
          </cell>
        </row>
        <row r="1397">
          <cell r="S1397" t="str">
            <v xml:space="preserve"> - </v>
          </cell>
          <cell r="T1397">
            <v>0</v>
          </cell>
        </row>
        <row r="1398">
          <cell r="S1398" t="str">
            <v xml:space="preserve"> - </v>
          </cell>
          <cell r="T1398">
            <v>0</v>
          </cell>
        </row>
        <row r="1399">
          <cell r="S1399" t="str">
            <v xml:space="preserve"> - </v>
          </cell>
          <cell r="T1399">
            <v>0</v>
          </cell>
        </row>
        <row r="1400">
          <cell r="S1400" t="str">
            <v xml:space="preserve"> - </v>
          </cell>
          <cell r="T1400">
            <v>0</v>
          </cell>
        </row>
        <row r="1401">
          <cell r="S1401" t="str">
            <v xml:space="preserve"> - </v>
          </cell>
          <cell r="T1401">
            <v>0</v>
          </cell>
        </row>
        <row r="1402">
          <cell r="S1402" t="str">
            <v xml:space="preserve"> - </v>
          </cell>
          <cell r="T1402">
            <v>0</v>
          </cell>
        </row>
        <row r="1403">
          <cell r="S1403" t="str">
            <v xml:space="preserve"> - </v>
          </cell>
          <cell r="T1403">
            <v>0</v>
          </cell>
        </row>
        <row r="1404">
          <cell r="S1404" t="str">
            <v xml:space="preserve"> - </v>
          </cell>
          <cell r="T1404">
            <v>0</v>
          </cell>
        </row>
        <row r="1405">
          <cell r="S1405" t="str">
            <v xml:space="preserve"> - </v>
          </cell>
          <cell r="T1405">
            <v>0</v>
          </cell>
        </row>
        <row r="1406">
          <cell r="S1406" t="str">
            <v xml:space="preserve"> - </v>
          </cell>
          <cell r="T1406">
            <v>0</v>
          </cell>
        </row>
        <row r="1407">
          <cell r="S1407" t="str">
            <v xml:space="preserve"> - </v>
          </cell>
          <cell r="T1407">
            <v>0</v>
          </cell>
        </row>
        <row r="1408">
          <cell r="S1408" t="str">
            <v xml:space="preserve"> - </v>
          </cell>
          <cell r="T1408">
            <v>0</v>
          </cell>
        </row>
        <row r="1409">
          <cell r="S1409" t="str">
            <v xml:space="preserve"> - </v>
          </cell>
          <cell r="T1409">
            <v>0</v>
          </cell>
        </row>
        <row r="1410">
          <cell r="S1410" t="str">
            <v xml:space="preserve"> - </v>
          </cell>
          <cell r="T1410">
            <v>0</v>
          </cell>
        </row>
        <row r="1411">
          <cell r="S1411" t="str">
            <v xml:space="preserve"> - </v>
          </cell>
          <cell r="T1411">
            <v>0</v>
          </cell>
        </row>
        <row r="1412">
          <cell r="S1412" t="str">
            <v xml:space="preserve"> - </v>
          </cell>
          <cell r="T1412">
            <v>0</v>
          </cell>
        </row>
        <row r="1413">
          <cell r="S1413" t="str">
            <v xml:space="preserve"> - </v>
          </cell>
          <cell r="T1413">
            <v>0</v>
          </cell>
        </row>
        <row r="1414">
          <cell r="S1414" t="str">
            <v xml:space="preserve"> - </v>
          </cell>
          <cell r="T1414">
            <v>0</v>
          </cell>
        </row>
        <row r="1415">
          <cell r="S1415" t="str">
            <v xml:space="preserve"> - </v>
          </cell>
          <cell r="T1415">
            <v>0</v>
          </cell>
        </row>
        <row r="1416">
          <cell r="S1416" t="str">
            <v xml:space="preserve"> - </v>
          </cell>
          <cell r="T1416">
            <v>0</v>
          </cell>
        </row>
        <row r="1417">
          <cell r="S1417" t="str">
            <v xml:space="preserve"> - </v>
          </cell>
          <cell r="T1417">
            <v>0</v>
          </cell>
        </row>
        <row r="1418">
          <cell r="S1418" t="str">
            <v xml:space="preserve"> - </v>
          </cell>
          <cell r="T1418">
            <v>0</v>
          </cell>
        </row>
        <row r="1419">
          <cell r="S1419" t="str">
            <v xml:space="preserve"> - </v>
          </cell>
          <cell r="T1419">
            <v>0</v>
          </cell>
        </row>
        <row r="1420">
          <cell r="S1420" t="str">
            <v xml:space="preserve"> - </v>
          </cell>
          <cell r="T1420">
            <v>0</v>
          </cell>
        </row>
        <row r="1421">
          <cell r="S1421" t="str">
            <v xml:space="preserve"> - </v>
          </cell>
          <cell r="T1421">
            <v>0</v>
          </cell>
        </row>
        <row r="1422">
          <cell r="S1422" t="str">
            <v xml:space="preserve"> - </v>
          </cell>
          <cell r="T1422">
            <v>0</v>
          </cell>
        </row>
        <row r="1423">
          <cell r="S1423" t="str">
            <v xml:space="preserve"> - </v>
          </cell>
          <cell r="T1423">
            <v>0</v>
          </cell>
        </row>
        <row r="1424">
          <cell r="S1424" t="str">
            <v xml:space="preserve"> - </v>
          </cell>
          <cell r="T1424">
            <v>0</v>
          </cell>
        </row>
        <row r="1425">
          <cell r="S1425" t="str">
            <v xml:space="preserve"> - </v>
          </cell>
          <cell r="T1425">
            <v>0</v>
          </cell>
        </row>
        <row r="1426">
          <cell r="S1426" t="str">
            <v xml:space="preserve"> - </v>
          </cell>
          <cell r="T1426">
            <v>0</v>
          </cell>
        </row>
        <row r="1427">
          <cell r="S1427" t="str">
            <v xml:space="preserve"> - </v>
          </cell>
          <cell r="T1427">
            <v>0</v>
          </cell>
        </row>
        <row r="1428">
          <cell r="S1428" t="str">
            <v xml:space="preserve"> - </v>
          </cell>
          <cell r="T1428">
            <v>0</v>
          </cell>
        </row>
        <row r="1429">
          <cell r="S1429" t="str">
            <v xml:space="preserve"> - </v>
          </cell>
          <cell r="T1429">
            <v>0</v>
          </cell>
        </row>
        <row r="1430">
          <cell r="S1430" t="str">
            <v xml:space="preserve"> - </v>
          </cell>
          <cell r="T1430">
            <v>0</v>
          </cell>
        </row>
        <row r="1431">
          <cell r="S1431" t="str">
            <v xml:space="preserve"> - </v>
          </cell>
          <cell r="T1431">
            <v>0</v>
          </cell>
        </row>
        <row r="1432">
          <cell r="S1432" t="str">
            <v xml:space="preserve"> - </v>
          </cell>
          <cell r="T1432">
            <v>0</v>
          </cell>
        </row>
        <row r="1433">
          <cell r="S1433" t="str">
            <v xml:space="preserve"> - </v>
          </cell>
          <cell r="T1433">
            <v>0</v>
          </cell>
        </row>
        <row r="1434">
          <cell r="S1434" t="str">
            <v xml:space="preserve"> - </v>
          </cell>
          <cell r="T1434">
            <v>0</v>
          </cell>
        </row>
        <row r="1435">
          <cell r="S1435" t="str">
            <v xml:space="preserve"> - </v>
          </cell>
          <cell r="T1435">
            <v>0</v>
          </cell>
        </row>
        <row r="1436">
          <cell r="S1436" t="str">
            <v xml:space="preserve"> - </v>
          </cell>
          <cell r="T1436">
            <v>0</v>
          </cell>
        </row>
        <row r="1437">
          <cell r="S1437" t="str">
            <v xml:space="preserve"> - </v>
          </cell>
          <cell r="T1437">
            <v>0</v>
          </cell>
        </row>
        <row r="1438">
          <cell r="S1438" t="str">
            <v xml:space="preserve"> - </v>
          </cell>
          <cell r="T1438">
            <v>0</v>
          </cell>
        </row>
        <row r="1439">
          <cell r="S1439" t="str">
            <v xml:space="preserve"> - </v>
          </cell>
          <cell r="T1439">
            <v>0</v>
          </cell>
        </row>
        <row r="1440">
          <cell r="S1440" t="str">
            <v xml:space="preserve"> - </v>
          </cell>
          <cell r="T1440">
            <v>0</v>
          </cell>
        </row>
        <row r="1441">
          <cell r="S1441" t="str">
            <v xml:space="preserve"> - </v>
          </cell>
          <cell r="T1441">
            <v>0</v>
          </cell>
        </row>
        <row r="1442">
          <cell r="S1442" t="str">
            <v xml:space="preserve"> - </v>
          </cell>
          <cell r="T1442">
            <v>0</v>
          </cell>
        </row>
        <row r="1443">
          <cell r="S1443" t="str">
            <v xml:space="preserve"> - </v>
          </cell>
          <cell r="T1443">
            <v>0</v>
          </cell>
        </row>
        <row r="1444">
          <cell r="S1444" t="str">
            <v xml:space="preserve"> - </v>
          </cell>
          <cell r="T1444">
            <v>0</v>
          </cell>
        </row>
        <row r="1445">
          <cell r="S1445" t="str">
            <v xml:space="preserve"> - </v>
          </cell>
          <cell r="T1445">
            <v>0</v>
          </cell>
        </row>
        <row r="1446">
          <cell r="S1446" t="str">
            <v xml:space="preserve"> - </v>
          </cell>
          <cell r="T1446">
            <v>0</v>
          </cell>
        </row>
        <row r="1447">
          <cell r="S1447" t="str">
            <v xml:space="preserve"> - </v>
          </cell>
          <cell r="T1447">
            <v>0</v>
          </cell>
        </row>
        <row r="1448">
          <cell r="S1448" t="str">
            <v xml:space="preserve"> - </v>
          </cell>
          <cell r="T1448">
            <v>0</v>
          </cell>
        </row>
        <row r="1449">
          <cell r="S1449" t="str">
            <v xml:space="preserve"> - </v>
          </cell>
          <cell r="T1449">
            <v>0</v>
          </cell>
        </row>
        <row r="1450">
          <cell r="S1450" t="str">
            <v xml:space="preserve"> - </v>
          </cell>
          <cell r="T1450">
            <v>0</v>
          </cell>
        </row>
        <row r="1451">
          <cell r="S1451" t="str">
            <v xml:space="preserve"> - </v>
          </cell>
          <cell r="T1451">
            <v>0</v>
          </cell>
        </row>
        <row r="1452">
          <cell r="S1452" t="str">
            <v xml:space="preserve"> - </v>
          </cell>
          <cell r="T1452">
            <v>0</v>
          </cell>
        </row>
        <row r="1453">
          <cell r="S1453" t="str">
            <v xml:space="preserve"> - </v>
          </cell>
          <cell r="T1453">
            <v>0</v>
          </cell>
        </row>
        <row r="1454">
          <cell r="S1454" t="str">
            <v xml:space="preserve"> - </v>
          </cell>
          <cell r="T1454">
            <v>0</v>
          </cell>
        </row>
        <row r="1455">
          <cell r="S1455" t="str">
            <v xml:space="preserve"> - </v>
          </cell>
          <cell r="T1455">
            <v>0</v>
          </cell>
        </row>
        <row r="1456">
          <cell r="S1456" t="str">
            <v xml:space="preserve"> - </v>
          </cell>
          <cell r="T1456">
            <v>0</v>
          </cell>
        </row>
        <row r="1457">
          <cell r="S1457" t="str">
            <v xml:space="preserve"> - </v>
          </cell>
          <cell r="T1457">
            <v>0</v>
          </cell>
        </row>
        <row r="1458">
          <cell r="S1458" t="str">
            <v xml:space="preserve"> - </v>
          </cell>
          <cell r="T1458">
            <v>0</v>
          </cell>
        </row>
        <row r="1459">
          <cell r="S1459" t="str">
            <v xml:space="preserve"> - </v>
          </cell>
          <cell r="T1459">
            <v>0</v>
          </cell>
        </row>
        <row r="1460">
          <cell r="S1460" t="str">
            <v xml:space="preserve"> - </v>
          </cell>
          <cell r="T1460">
            <v>0</v>
          </cell>
        </row>
        <row r="1461">
          <cell r="S1461" t="str">
            <v xml:space="preserve"> - </v>
          </cell>
          <cell r="T1461">
            <v>0</v>
          </cell>
        </row>
        <row r="1462">
          <cell r="S1462" t="str">
            <v xml:space="preserve"> - </v>
          </cell>
          <cell r="T1462">
            <v>0</v>
          </cell>
        </row>
        <row r="1463">
          <cell r="S1463" t="str">
            <v xml:space="preserve"> - </v>
          </cell>
          <cell r="T1463">
            <v>0</v>
          </cell>
        </row>
        <row r="1464">
          <cell r="S1464" t="str">
            <v xml:space="preserve"> - </v>
          </cell>
          <cell r="T1464">
            <v>0</v>
          </cell>
        </row>
        <row r="1465">
          <cell r="S1465" t="str">
            <v xml:space="preserve"> - </v>
          </cell>
          <cell r="T1465">
            <v>0</v>
          </cell>
        </row>
        <row r="1466">
          <cell r="S1466" t="str">
            <v xml:space="preserve"> - </v>
          </cell>
          <cell r="T1466">
            <v>0</v>
          </cell>
        </row>
        <row r="1467">
          <cell r="S1467" t="str">
            <v xml:space="preserve"> - </v>
          </cell>
          <cell r="T1467">
            <v>0</v>
          </cell>
        </row>
        <row r="1468">
          <cell r="S1468" t="str">
            <v xml:space="preserve"> - </v>
          </cell>
          <cell r="T1468">
            <v>0</v>
          </cell>
        </row>
        <row r="1469">
          <cell r="S1469" t="str">
            <v xml:space="preserve"> - </v>
          </cell>
          <cell r="T1469">
            <v>0</v>
          </cell>
        </row>
        <row r="1470">
          <cell r="S1470" t="str">
            <v xml:space="preserve"> - </v>
          </cell>
          <cell r="T1470">
            <v>0</v>
          </cell>
        </row>
        <row r="1471">
          <cell r="S1471" t="str">
            <v xml:space="preserve"> - </v>
          </cell>
          <cell r="T1471">
            <v>0</v>
          </cell>
        </row>
        <row r="1472">
          <cell r="S1472" t="str">
            <v xml:space="preserve"> - </v>
          </cell>
          <cell r="T1472">
            <v>0</v>
          </cell>
        </row>
        <row r="1473">
          <cell r="S1473" t="str">
            <v xml:space="preserve"> - </v>
          </cell>
          <cell r="T1473">
            <v>0</v>
          </cell>
        </row>
        <row r="1474">
          <cell r="S1474" t="str">
            <v xml:space="preserve"> - </v>
          </cell>
          <cell r="T1474">
            <v>0</v>
          </cell>
        </row>
        <row r="1475">
          <cell r="S1475" t="str">
            <v xml:space="preserve"> - </v>
          </cell>
          <cell r="T1475">
            <v>0</v>
          </cell>
        </row>
        <row r="1476">
          <cell r="S1476" t="str">
            <v xml:space="preserve"> - </v>
          </cell>
          <cell r="T1476">
            <v>0</v>
          </cell>
        </row>
        <row r="1477">
          <cell r="S1477" t="str">
            <v xml:space="preserve"> - </v>
          </cell>
          <cell r="T1477">
            <v>0</v>
          </cell>
        </row>
        <row r="1478">
          <cell r="S1478" t="str">
            <v xml:space="preserve"> - </v>
          </cell>
          <cell r="T1478">
            <v>0</v>
          </cell>
        </row>
        <row r="1479">
          <cell r="S1479" t="str">
            <v xml:space="preserve"> - </v>
          </cell>
          <cell r="T1479">
            <v>0</v>
          </cell>
        </row>
        <row r="1480">
          <cell r="S1480" t="str">
            <v xml:space="preserve"> - </v>
          </cell>
          <cell r="T1480">
            <v>0</v>
          </cell>
        </row>
        <row r="1481">
          <cell r="S1481" t="str">
            <v xml:space="preserve"> - </v>
          </cell>
          <cell r="T1481">
            <v>0</v>
          </cell>
        </row>
        <row r="1482">
          <cell r="S1482" t="str">
            <v xml:space="preserve"> - </v>
          </cell>
          <cell r="T1482">
            <v>0</v>
          </cell>
        </row>
        <row r="1483">
          <cell r="S1483" t="str">
            <v xml:space="preserve"> - </v>
          </cell>
          <cell r="T1483">
            <v>0</v>
          </cell>
        </row>
        <row r="1484">
          <cell r="S1484" t="str">
            <v xml:space="preserve"> - </v>
          </cell>
          <cell r="T1484">
            <v>0</v>
          </cell>
        </row>
        <row r="1485">
          <cell r="S1485" t="str">
            <v xml:space="preserve"> - </v>
          </cell>
          <cell r="T1485">
            <v>0</v>
          </cell>
        </row>
        <row r="1486">
          <cell r="S1486" t="str">
            <v xml:space="preserve"> - </v>
          </cell>
          <cell r="T1486">
            <v>0</v>
          </cell>
        </row>
        <row r="1487">
          <cell r="S1487" t="str">
            <v xml:space="preserve"> - </v>
          </cell>
          <cell r="T1487">
            <v>0</v>
          </cell>
        </row>
        <row r="1488">
          <cell r="S1488" t="str">
            <v xml:space="preserve"> - </v>
          </cell>
          <cell r="T1488">
            <v>0</v>
          </cell>
        </row>
        <row r="1489">
          <cell r="S1489" t="str">
            <v xml:space="preserve"> - </v>
          </cell>
          <cell r="T1489">
            <v>0</v>
          </cell>
        </row>
        <row r="1490">
          <cell r="S1490" t="str">
            <v xml:space="preserve"> - </v>
          </cell>
          <cell r="T1490">
            <v>0</v>
          </cell>
        </row>
        <row r="1491">
          <cell r="S1491" t="str">
            <v xml:space="preserve"> - </v>
          </cell>
          <cell r="T1491">
            <v>0</v>
          </cell>
        </row>
        <row r="1492">
          <cell r="S1492" t="str">
            <v xml:space="preserve"> - </v>
          </cell>
          <cell r="T1492">
            <v>0</v>
          </cell>
        </row>
        <row r="1493">
          <cell r="S1493" t="str">
            <v xml:space="preserve"> - </v>
          </cell>
          <cell r="T1493">
            <v>0</v>
          </cell>
        </row>
        <row r="1494">
          <cell r="S1494" t="str">
            <v xml:space="preserve"> - </v>
          </cell>
          <cell r="T1494">
            <v>0</v>
          </cell>
        </row>
        <row r="1495">
          <cell r="S1495" t="str">
            <v xml:space="preserve"> - </v>
          </cell>
          <cell r="T1495">
            <v>0</v>
          </cell>
        </row>
        <row r="1496">
          <cell r="S1496" t="str">
            <v xml:space="preserve"> - </v>
          </cell>
          <cell r="T1496">
            <v>0</v>
          </cell>
        </row>
        <row r="1497">
          <cell r="S1497" t="str">
            <v xml:space="preserve"> - </v>
          </cell>
          <cell r="T1497">
            <v>0</v>
          </cell>
        </row>
        <row r="1498">
          <cell r="S1498" t="str">
            <v xml:space="preserve"> - </v>
          </cell>
          <cell r="T1498">
            <v>0</v>
          </cell>
        </row>
        <row r="1499">
          <cell r="S1499" t="str">
            <v xml:space="preserve"> - </v>
          </cell>
          <cell r="T1499">
            <v>0</v>
          </cell>
        </row>
        <row r="1500">
          <cell r="S1500" t="str">
            <v xml:space="preserve"> - </v>
          </cell>
          <cell r="T1500">
            <v>0</v>
          </cell>
        </row>
        <row r="1501">
          <cell r="S1501" t="str">
            <v xml:space="preserve"> - </v>
          </cell>
          <cell r="T1501">
            <v>0</v>
          </cell>
        </row>
        <row r="1502">
          <cell r="S1502" t="str">
            <v xml:space="preserve"> - </v>
          </cell>
          <cell r="T1502">
            <v>0</v>
          </cell>
        </row>
        <row r="1503">
          <cell r="S1503" t="str">
            <v xml:space="preserve"> - </v>
          </cell>
          <cell r="T1503">
            <v>0</v>
          </cell>
        </row>
        <row r="1504">
          <cell r="S1504" t="str">
            <v xml:space="preserve"> - </v>
          </cell>
          <cell r="T1504">
            <v>0</v>
          </cell>
        </row>
        <row r="1505">
          <cell r="S1505" t="str">
            <v xml:space="preserve"> - </v>
          </cell>
          <cell r="T1505">
            <v>0</v>
          </cell>
        </row>
        <row r="1506">
          <cell r="S1506" t="str">
            <v xml:space="preserve"> - </v>
          </cell>
          <cell r="T1506">
            <v>0</v>
          </cell>
        </row>
        <row r="1507">
          <cell r="S1507" t="str">
            <v xml:space="preserve"> - </v>
          </cell>
          <cell r="T1507">
            <v>0</v>
          </cell>
        </row>
        <row r="1508">
          <cell r="S1508" t="str">
            <v xml:space="preserve"> - </v>
          </cell>
          <cell r="T1508">
            <v>0</v>
          </cell>
        </row>
        <row r="1509">
          <cell r="S1509" t="str">
            <v xml:space="preserve"> - </v>
          </cell>
          <cell r="T1509">
            <v>0</v>
          </cell>
        </row>
        <row r="1510">
          <cell r="S1510" t="str">
            <v xml:space="preserve"> - </v>
          </cell>
          <cell r="T1510">
            <v>0</v>
          </cell>
        </row>
        <row r="1511">
          <cell r="S1511" t="str">
            <v xml:space="preserve"> - </v>
          </cell>
          <cell r="T1511">
            <v>0</v>
          </cell>
        </row>
        <row r="1512">
          <cell r="S1512" t="str">
            <v xml:space="preserve"> - </v>
          </cell>
          <cell r="T1512">
            <v>0</v>
          </cell>
        </row>
        <row r="1513">
          <cell r="S1513" t="str">
            <v xml:space="preserve"> - </v>
          </cell>
          <cell r="T1513">
            <v>0</v>
          </cell>
        </row>
        <row r="1514">
          <cell r="S1514" t="str">
            <v xml:space="preserve"> - </v>
          </cell>
          <cell r="T1514">
            <v>0</v>
          </cell>
        </row>
        <row r="1515">
          <cell r="S1515" t="str">
            <v xml:space="preserve"> - </v>
          </cell>
          <cell r="T1515">
            <v>0</v>
          </cell>
        </row>
        <row r="1516">
          <cell r="S1516" t="str">
            <v xml:space="preserve"> - </v>
          </cell>
          <cell r="T1516">
            <v>0</v>
          </cell>
        </row>
        <row r="1517">
          <cell r="S1517" t="str">
            <v xml:space="preserve"> - </v>
          </cell>
          <cell r="T1517">
            <v>0</v>
          </cell>
        </row>
        <row r="1518">
          <cell r="S1518" t="str">
            <v xml:space="preserve"> - </v>
          </cell>
          <cell r="T1518">
            <v>0</v>
          </cell>
        </row>
        <row r="1519">
          <cell r="S1519" t="str">
            <v xml:space="preserve"> - </v>
          </cell>
          <cell r="T1519">
            <v>0</v>
          </cell>
        </row>
        <row r="1520">
          <cell r="S1520" t="str">
            <v xml:space="preserve"> - </v>
          </cell>
          <cell r="T1520">
            <v>0</v>
          </cell>
        </row>
        <row r="1521">
          <cell r="S1521" t="str">
            <v xml:space="preserve"> - </v>
          </cell>
          <cell r="T1521">
            <v>0</v>
          </cell>
        </row>
        <row r="1522">
          <cell r="S1522" t="str">
            <v xml:space="preserve"> - </v>
          </cell>
          <cell r="T1522">
            <v>0</v>
          </cell>
        </row>
        <row r="1523">
          <cell r="S1523" t="str">
            <v xml:space="preserve"> - </v>
          </cell>
          <cell r="T1523">
            <v>0</v>
          </cell>
        </row>
        <row r="1524">
          <cell r="S1524" t="str">
            <v xml:space="preserve"> - </v>
          </cell>
          <cell r="T1524">
            <v>0</v>
          </cell>
        </row>
        <row r="1525">
          <cell r="S1525" t="str">
            <v xml:space="preserve"> - </v>
          </cell>
          <cell r="T1525">
            <v>0</v>
          </cell>
        </row>
        <row r="1526">
          <cell r="S1526" t="str">
            <v xml:space="preserve"> - </v>
          </cell>
          <cell r="T1526">
            <v>0</v>
          </cell>
        </row>
        <row r="1527">
          <cell r="S1527" t="str">
            <v xml:space="preserve"> - </v>
          </cell>
          <cell r="T1527">
            <v>0</v>
          </cell>
        </row>
        <row r="1528">
          <cell r="S1528" t="str">
            <v xml:space="preserve"> - </v>
          </cell>
          <cell r="T1528">
            <v>0</v>
          </cell>
        </row>
        <row r="1529">
          <cell r="S1529" t="str">
            <v xml:space="preserve"> - </v>
          </cell>
          <cell r="T1529">
            <v>0</v>
          </cell>
        </row>
        <row r="1530">
          <cell r="S1530" t="str">
            <v xml:space="preserve"> - </v>
          </cell>
          <cell r="T1530">
            <v>0</v>
          </cell>
        </row>
        <row r="1531">
          <cell r="S1531" t="str">
            <v xml:space="preserve"> - </v>
          </cell>
          <cell r="T1531">
            <v>0</v>
          </cell>
        </row>
        <row r="1532">
          <cell r="S1532" t="str">
            <v xml:space="preserve"> - </v>
          </cell>
          <cell r="T1532">
            <v>0</v>
          </cell>
        </row>
        <row r="1533">
          <cell r="S1533" t="str">
            <v xml:space="preserve"> - </v>
          </cell>
          <cell r="T1533">
            <v>0</v>
          </cell>
        </row>
        <row r="1534">
          <cell r="S1534" t="str">
            <v xml:space="preserve"> - </v>
          </cell>
          <cell r="T1534">
            <v>0</v>
          </cell>
        </row>
        <row r="1535">
          <cell r="S1535" t="str">
            <v xml:space="preserve"> - </v>
          </cell>
          <cell r="T1535">
            <v>0</v>
          </cell>
        </row>
        <row r="1536">
          <cell r="S1536" t="str">
            <v xml:space="preserve"> - </v>
          </cell>
          <cell r="T1536">
            <v>0</v>
          </cell>
        </row>
        <row r="1537">
          <cell r="S1537" t="str">
            <v xml:space="preserve"> - </v>
          </cell>
          <cell r="T1537">
            <v>0</v>
          </cell>
        </row>
        <row r="1538">
          <cell r="S1538" t="str">
            <v xml:space="preserve"> - </v>
          </cell>
          <cell r="T1538">
            <v>0</v>
          </cell>
        </row>
        <row r="1539">
          <cell r="S1539" t="str">
            <v xml:space="preserve"> - </v>
          </cell>
          <cell r="T1539">
            <v>0</v>
          </cell>
        </row>
        <row r="1540">
          <cell r="S1540" t="str">
            <v xml:space="preserve"> - </v>
          </cell>
          <cell r="T1540">
            <v>0</v>
          </cell>
        </row>
        <row r="1541">
          <cell r="S1541" t="str">
            <v xml:space="preserve"> - </v>
          </cell>
          <cell r="T1541">
            <v>0</v>
          </cell>
        </row>
        <row r="1542">
          <cell r="S1542" t="str">
            <v xml:space="preserve"> - </v>
          </cell>
          <cell r="T1542">
            <v>0</v>
          </cell>
        </row>
        <row r="1543">
          <cell r="S1543" t="str">
            <v xml:space="preserve"> - </v>
          </cell>
          <cell r="T1543">
            <v>0</v>
          </cell>
        </row>
        <row r="1544">
          <cell r="S1544" t="str">
            <v xml:space="preserve"> - </v>
          </cell>
          <cell r="T1544">
            <v>0</v>
          </cell>
        </row>
        <row r="1545">
          <cell r="S1545" t="str">
            <v xml:space="preserve"> - </v>
          </cell>
          <cell r="T1545">
            <v>0</v>
          </cell>
        </row>
        <row r="1546">
          <cell r="S1546" t="str">
            <v xml:space="preserve"> - </v>
          </cell>
          <cell r="T1546">
            <v>0</v>
          </cell>
        </row>
        <row r="1547">
          <cell r="S1547" t="str">
            <v xml:space="preserve"> - </v>
          </cell>
          <cell r="T1547">
            <v>0</v>
          </cell>
        </row>
        <row r="1548">
          <cell r="S1548" t="str">
            <v xml:space="preserve"> - </v>
          </cell>
          <cell r="T1548">
            <v>0</v>
          </cell>
        </row>
        <row r="1549">
          <cell r="S1549" t="str">
            <v xml:space="preserve"> - </v>
          </cell>
          <cell r="T1549">
            <v>0</v>
          </cell>
        </row>
        <row r="1550">
          <cell r="S1550" t="str">
            <v xml:space="preserve"> - </v>
          </cell>
          <cell r="T1550">
            <v>0</v>
          </cell>
        </row>
        <row r="1551">
          <cell r="S1551" t="str">
            <v xml:space="preserve"> - </v>
          </cell>
          <cell r="T1551">
            <v>0</v>
          </cell>
        </row>
        <row r="1552">
          <cell r="S1552" t="str">
            <v xml:space="preserve"> - </v>
          </cell>
          <cell r="T1552">
            <v>0</v>
          </cell>
        </row>
        <row r="1553">
          <cell r="S1553" t="str">
            <v xml:space="preserve"> - </v>
          </cell>
          <cell r="T1553">
            <v>0</v>
          </cell>
        </row>
        <row r="1554">
          <cell r="S1554" t="str">
            <v xml:space="preserve"> - </v>
          </cell>
          <cell r="T1554">
            <v>0</v>
          </cell>
        </row>
        <row r="1555">
          <cell r="S1555" t="str">
            <v xml:space="preserve"> - </v>
          </cell>
          <cell r="T1555">
            <v>0</v>
          </cell>
        </row>
        <row r="1556">
          <cell r="S1556" t="str">
            <v xml:space="preserve"> - </v>
          </cell>
          <cell r="T1556">
            <v>0</v>
          </cell>
        </row>
        <row r="1557">
          <cell r="S1557" t="str">
            <v xml:space="preserve"> - </v>
          </cell>
          <cell r="T1557">
            <v>0</v>
          </cell>
        </row>
        <row r="1558">
          <cell r="S1558" t="str">
            <v xml:space="preserve"> - </v>
          </cell>
          <cell r="T1558">
            <v>0</v>
          </cell>
        </row>
        <row r="1559">
          <cell r="S1559" t="str">
            <v xml:space="preserve"> - </v>
          </cell>
          <cell r="T1559">
            <v>0</v>
          </cell>
        </row>
        <row r="1560">
          <cell r="S1560" t="str">
            <v xml:space="preserve"> - </v>
          </cell>
          <cell r="T1560">
            <v>0</v>
          </cell>
        </row>
        <row r="1561">
          <cell r="S1561" t="str">
            <v xml:space="preserve"> - </v>
          </cell>
          <cell r="T1561">
            <v>0</v>
          </cell>
        </row>
        <row r="1562">
          <cell r="S1562" t="str">
            <v xml:space="preserve"> - </v>
          </cell>
          <cell r="T1562">
            <v>0</v>
          </cell>
        </row>
        <row r="1563">
          <cell r="S1563" t="str">
            <v xml:space="preserve"> - </v>
          </cell>
          <cell r="T1563">
            <v>0</v>
          </cell>
        </row>
        <row r="1564">
          <cell r="S1564" t="str">
            <v xml:space="preserve"> - </v>
          </cell>
          <cell r="T1564">
            <v>0</v>
          </cell>
        </row>
        <row r="1565">
          <cell r="S1565" t="str">
            <v xml:space="preserve"> - </v>
          </cell>
          <cell r="T1565">
            <v>0</v>
          </cell>
        </row>
        <row r="1566">
          <cell r="S1566" t="str">
            <v xml:space="preserve"> - </v>
          </cell>
          <cell r="T1566">
            <v>0</v>
          </cell>
        </row>
        <row r="1567">
          <cell r="S1567" t="str">
            <v xml:space="preserve"> - </v>
          </cell>
          <cell r="T1567">
            <v>0</v>
          </cell>
        </row>
        <row r="1568">
          <cell r="S1568" t="str">
            <v xml:space="preserve"> - </v>
          </cell>
          <cell r="T1568">
            <v>0</v>
          </cell>
        </row>
        <row r="1569">
          <cell r="S1569" t="str">
            <v xml:space="preserve"> - </v>
          </cell>
          <cell r="T1569">
            <v>0</v>
          </cell>
        </row>
        <row r="1570">
          <cell r="S1570" t="str">
            <v xml:space="preserve"> - </v>
          </cell>
          <cell r="T1570">
            <v>0</v>
          </cell>
        </row>
        <row r="1571">
          <cell r="S1571" t="str">
            <v xml:space="preserve"> - </v>
          </cell>
          <cell r="T1571">
            <v>0</v>
          </cell>
        </row>
        <row r="1572">
          <cell r="S1572" t="str">
            <v xml:space="preserve"> - </v>
          </cell>
          <cell r="T1572">
            <v>0</v>
          </cell>
        </row>
        <row r="1573">
          <cell r="S1573" t="str">
            <v xml:space="preserve"> - </v>
          </cell>
          <cell r="T1573">
            <v>0</v>
          </cell>
        </row>
        <row r="1574">
          <cell r="S1574" t="str">
            <v xml:space="preserve"> - </v>
          </cell>
          <cell r="T1574">
            <v>0</v>
          </cell>
        </row>
        <row r="1575">
          <cell r="S1575" t="str">
            <v xml:space="preserve"> - </v>
          </cell>
          <cell r="T1575">
            <v>0</v>
          </cell>
        </row>
        <row r="1576">
          <cell r="S1576" t="str">
            <v xml:space="preserve"> - </v>
          </cell>
          <cell r="T1576">
            <v>0</v>
          </cell>
        </row>
        <row r="1577">
          <cell r="S1577" t="str">
            <v xml:space="preserve"> - </v>
          </cell>
          <cell r="T1577">
            <v>0</v>
          </cell>
        </row>
        <row r="1578">
          <cell r="S1578" t="str">
            <v xml:space="preserve"> - </v>
          </cell>
          <cell r="T1578">
            <v>0</v>
          </cell>
        </row>
        <row r="1579">
          <cell r="S1579" t="str">
            <v xml:space="preserve"> - </v>
          </cell>
          <cell r="T1579">
            <v>0</v>
          </cell>
        </row>
        <row r="1580">
          <cell r="S1580" t="str">
            <v xml:space="preserve"> - </v>
          </cell>
          <cell r="T1580">
            <v>0</v>
          </cell>
        </row>
        <row r="1581">
          <cell r="S1581" t="str">
            <v xml:space="preserve"> - </v>
          </cell>
          <cell r="T1581">
            <v>0</v>
          </cell>
        </row>
        <row r="1582">
          <cell r="S1582" t="str">
            <v xml:space="preserve"> - </v>
          </cell>
          <cell r="T1582">
            <v>0</v>
          </cell>
        </row>
        <row r="1583">
          <cell r="S1583" t="str">
            <v xml:space="preserve"> - </v>
          </cell>
          <cell r="T1583">
            <v>0</v>
          </cell>
        </row>
        <row r="1584">
          <cell r="S1584" t="str">
            <v xml:space="preserve"> - </v>
          </cell>
          <cell r="T1584">
            <v>0</v>
          </cell>
        </row>
        <row r="1585">
          <cell r="S1585" t="str">
            <v xml:space="preserve"> - </v>
          </cell>
          <cell r="T1585">
            <v>0</v>
          </cell>
        </row>
        <row r="1586">
          <cell r="S1586" t="str">
            <v xml:space="preserve"> - </v>
          </cell>
          <cell r="T1586">
            <v>0</v>
          </cell>
        </row>
        <row r="1587">
          <cell r="S1587" t="str">
            <v xml:space="preserve"> - </v>
          </cell>
          <cell r="T1587">
            <v>0</v>
          </cell>
        </row>
        <row r="1588">
          <cell r="S1588" t="str">
            <v xml:space="preserve"> - </v>
          </cell>
          <cell r="T1588">
            <v>0</v>
          </cell>
        </row>
        <row r="1589">
          <cell r="S1589" t="str">
            <v xml:space="preserve"> - </v>
          </cell>
          <cell r="T1589">
            <v>0</v>
          </cell>
        </row>
        <row r="1590">
          <cell r="S1590" t="str">
            <v xml:space="preserve"> - </v>
          </cell>
          <cell r="T1590">
            <v>0</v>
          </cell>
        </row>
        <row r="1591">
          <cell r="S1591" t="str">
            <v xml:space="preserve"> - </v>
          </cell>
          <cell r="T1591">
            <v>0</v>
          </cell>
        </row>
        <row r="1592">
          <cell r="S1592" t="str">
            <v xml:space="preserve"> - </v>
          </cell>
          <cell r="T1592">
            <v>0</v>
          </cell>
        </row>
        <row r="1593">
          <cell r="S1593" t="str">
            <v xml:space="preserve"> - </v>
          </cell>
          <cell r="T1593">
            <v>0</v>
          </cell>
        </row>
        <row r="1594">
          <cell r="S1594" t="str">
            <v xml:space="preserve"> - </v>
          </cell>
          <cell r="T1594">
            <v>0</v>
          </cell>
        </row>
        <row r="1595">
          <cell r="S1595" t="str">
            <v xml:space="preserve"> - </v>
          </cell>
          <cell r="T1595">
            <v>0</v>
          </cell>
        </row>
        <row r="1596">
          <cell r="S1596" t="str">
            <v xml:space="preserve"> - </v>
          </cell>
          <cell r="T1596">
            <v>0</v>
          </cell>
        </row>
        <row r="1597">
          <cell r="S1597" t="str">
            <v xml:space="preserve"> - </v>
          </cell>
          <cell r="T1597">
            <v>0</v>
          </cell>
        </row>
        <row r="1598">
          <cell r="S1598" t="str">
            <v xml:space="preserve"> - </v>
          </cell>
          <cell r="T1598">
            <v>0</v>
          </cell>
        </row>
        <row r="1599">
          <cell r="S1599" t="str">
            <v xml:space="preserve"> - </v>
          </cell>
          <cell r="T1599">
            <v>0</v>
          </cell>
        </row>
        <row r="1600">
          <cell r="S1600" t="str">
            <v xml:space="preserve"> - </v>
          </cell>
          <cell r="T1600">
            <v>0</v>
          </cell>
        </row>
        <row r="1601">
          <cell r="S1601" t="str">
            <v xml:space="preserve"> - </v>
          </cell>
          <cell r="T1601">
            <v>0</v>
          </cell>
        </row>
        <row r="1602">
          <cell r="S1602" t="str">
            <v xml:space="preserve"> - </v>
          </cell>
          <cell r="T1602">
            <v>0</v>
          </cell>
        </row>
        <row r="1603">
          <cell r="S1603" t="str">
            <v xml:space="preserve"> - </v>
          </cell>
          <cell r="T1603">
            <v>0</v>
          </cell>
        </row>
        <row r="1604">
          <cell r="S1604" t="str">
            <v xml:space="preserve"> - </v>
          </cell>
          <cell r="T1604">
            <v>0</v>
          </cell>
        </row>
        <row r="1605">
          <cell r="S1605" t="str">
            <v xml:space="preserve"> - </v>
          </cell>
          <cell r="T1605">
            <v>0</v>
          </cell>
        </row>
        <row r="1606">
          <cell r="S1606" t="str">
            <v xml:space="preserve"> - </v>
          </cell>
          <cell r="T1606">
            <v>0</v>
          </cell>
        </row>
        <row r="1607">
          <cell r="S1607" t="str">
            <v xml:space="preserve"> - </v>
          </cell>
          <cell r="T1607">
            <v>0</v>
          </cell>
        </row>
        <row r="1608">
          <cell r="S1608" t="str">
            <v xml:space="preserve"> - </v>
          </cell>
          <cell r="T1608">
            <v>0</v>
          </cell>
        </row>
        <row r="1609">
          <cell r="S1609" t="str">
            <v xml:space="preserve"> - </v>
          </cell>
          <cell r="T1609">
            <v>0</v>
          </cell>
        </row>
        <row r="1610">
          <cell r="S1610" t="str">
            <v xml:space="preserve"> - </v>
          </cell>
          <cell r="T1610">
            <v>0</v>
          </cell>
        </row>
        <row r="1611">
          <cell r="S1611" t="str">
            <v xml:space="preserve"> - </v>
          </cell>
          <cell r="T1611">
            <v>0</v>
          </cell>
        </row>
        <row r="1612">
          <cell r="S1612" t="str">
            <v xml:space="preserve"> - </v>
          </cell>
          <cell r="T1612">
            <v>0</v>
          </cell>
        </row>
        <row r="1613">
          <cell r="S1613" t="str">
            <v xml:space="preserve"> - </v>
          </cell>
          <cell r="T1613">
            <v>0</v>
          </cell>
        </row>
        <row r="1614">
          <cell r="S1614" t="str">
            <v xml:space="preserve"> - </v>
          </cell>
          <cell r="T1614">
            <v>0</v>
          </cell>
        </row>
        <row r="1615">
          <cell r="S1615" t="str">
            <v xml:space="preserve"> - </v>
          </cell>
          <cell r="T1615">
            <v>0</v>
          </cell>
        </row>
        <row r="1616">
          <cell r="S1616" t="str">
            <v xml:space="preserve"> - </v>
          </cell>
          <cell r="T1616">
            <v>0</v>
          </cell>
        </row>
        <row r="1617">
          <cell r="S1617" t="str">
            <v xml:space="preserve"> - </v>
          </cell>
          <cell r="T1617">
            <v>0</v>
          </cell>
        </row>
        <row r="1618">
          <cell r="S1618" t="str">
            <v xml:space="preserve"> - </v>
          </cell>
          <cell r="T1618">
            <v>0</v>
          </cell>
        </row>
        <row r="1619">
          <cell r="S1619" t="str">
            <v xml:space="preserve"> - </v>
          </cell>
          <cell r="T1619">
            <v>0</v>
          </cell>
        </row>
        <row r="1620">
          <cell r="S1620" t="str">
            <v xml:space="preserve"> - </v>
          </cell>
          <cell r="T1620">
            <v>0</v>
          </cell>
        </row>
        <row r="1621">
          <cell r="S1621" t="str">
            <v xml:space="preserve"> - </v>
          </cell>
          <cell r="T1621">
            <v>0</v>
          </cell>
        </row>
        <row r="1622">
          <cell r="S1622" t="str">
            <v xml:space="preserve"> - </v>
          </cell>
          <cell r="T1622">
            <v>0</v>
          </cell>
        </row>
        <row r="1623">
          <cell r="S1623" t="str">
            <v xml:space="preserve"> - </v>
          </cell>
          <cell r="T1623">
            <v>0</v>
          </cell>
        </row>
        <row r="1624">
          <cell r="S1624" t="str">
            <v xml:space="preserve"> - </v>
          </cell>
          <cell r="T1624">
            <v>0</v>
          </cell>
        </row>
        <row r="1625">
          <cell r="S1625" t="str">
            <v xml:space="preserve"> - </v>
          </cell>
          <cell r="T1625">
            <v>0</v>
          </cell>
        </row>
        <row r="1626">
          <cell r="S1626" t="str">
            <v xml:space="preserve"> - </v>
          </cell>
          <cell r="T1626">
            <v>0</v>
          </cell>
        </row>
        <row r="1627">
          <cell r="S1627" t="str">
            <v xml:space="preserve"> - </v>
          </cell>
          <cell r="T1627">
            <v>0</v>
          </cell>
        </row>
        <row r="1628">
          <cell r="S1628" t="str">
            <v xml:space="preserve"> - </v>
          </cell>
          <cell r="T1628">
            <v>0</v>
          </cell>
        </row>
        <row r="1629">
          <cell r="S1629" t="str">
            <v xml:space="preserve"> - </v>
          </cell>
          <cell r="T1629">
            <v>0</v>
          </cell>
        </row>
        <row r="1630">
          <cell r="S1630" t="str">
            <v xml:space="preserve"> - </v>
          </cell>
          <cell r="T1630">
            <v>0</v>
          </cell>
        </row>
        <row r="1631">
          <cell r="S1631" t="str">
            <v xml:space="preserve"> - </v>
          </cell>
          <cell r="T1631">
            <v>0</v>
          </cell>
        </row>
        <row r="1632">
          <cell r="S1632" t="str">
            <v xml:space="preserve"> - </v>
          </cell>
          <cell r="T1632">
            <v>0</v>
          </cell>
        </row>
        <row r="1633">
          <cell r="S1633" t="str">
            <v xml:space="preserve"> - </v>
          </cell>
          <cell r="T1633">
            <v>0</v>
          </cell>
        </row>
        <row r="1634">
          <cell r="S1634" t="str">
            <v xml:space="preserve"> - </v>
          </cell>
          <cell r="T1634">
            <v>0</v>
          </cell>
        </row>
        <row r="1635">
          <cell r="S1635" t="str">
            <v xml:space="preserve"> - </v>
          </cell>
          <cell r="T1635">
            <v>0</v>
          </cell>
        </row>
        <row r="1636">
          <cell r="S1636" t="str">
            <v xml:space="preserve"> - </v>
          </cell>
          <cell r="T1636">
            <v>0</v>
          </cell>
        </row>
        <row r="1637">
          <cell r="S1637" t="str">
            <v xml:space="preserve"> - </v>
          </cell>
          <cell r="T1637">
            <v>0</v>
          </cell>
        </row>
        <row r="1638">
          <cell r="S1638" t="str">
            <v xml:space="preserve"> - </v>
          </cell>
          <cell r="T1638">
            <v>0</v>
          </cell>
        </row>
        <row r="1639">
          <cell r="S1639" t="str">
            <v xml:space="preserve"> - </v>
          </cell>
          <cell r="T1639">
            <v>0</v>
          </cell>
        </row>
        <row r="1640">
          <cell r="S1640" t="str">
            <v xml:space="preserve"> - </v>
          </cell>
          <cell r="T1640">
            <v>0</v>
          </cell>
        </row>
        <row r="1641">
          <cell r="S1641" t="str">
            <v xml:space="preserve"> - </v>
          </cell>
          <cell r="T1641">
            <v>0</v>
          </cell>
        </row>
        <row r="1642">
          <cell r="S1642" t="str">
            <v xml:space="preserve"> - </v>
          </cell>
          <cell r="T1642">
            <v>0</v>
          </cell>
        </row>
        <row r="1643">
          <cell r="S1643" t="str">
            <v xml:space="preserve"> - </v>
          </cell>
          <cell r="T1643">
            <v>0</v>
          </cell>
        </row>
        <row r="1644">
          <cell r="S1644" t="str">
            <v xml:space="preserve"> - </v>
          </cell>
          <cell r="T1644">
            <v>0</v>
          </cell>
        </row>
        <row r="1645">
          <cell r="S1645" t="str">
            <v xml:space="preserve"> - </v>
          </cell>
          <cell r="T1645">
            <v>0</v>
          </cell>
        </row>
        <row r="1646">
          <cell r="S1646" t="str">
            <v xml:space="preserve"> - </v>
          </cell>
          <cell r="T1646">
            <v>0</v>
          </cell>
        </row>
        <row r="1647">
          <cell r="S1647" t="str">
            <v xml:space="preserve"> - </v>
          </cell>
          <cell r="T1647">
            <v>0</v>
          </cell>
        </row>
        <row r="1648">
          <cell r="S1648" t="str">
            <v xml:space="preserve"> - </v>
          </cell>
          <cell r="T1648">
            <v>0</v>
          </cell>
        </row>
        <row r="1649">
          <cell r="S1649" t="str">
            <v xml:space="preserve"> - </v>
          </cell>
          <cell r="T1649">
            <v>0</v>
          </cell>
        </row>
        <row r="1650">
          <cell r="S1650" t="str">
            <v xml:space="preserve"> - </v>
          </cell>
          <cell r="T1650">
            <v>0</v>
          </cell>
        </row>
        <row r="1651">
          <cell r="S1651" t="str">
            <v xml:space="preserve"> - </v>
          </cell>
          <cell r="T1651">
            <v>0</v>
          </cell>
        </row>
        <row r="1652">
          <cell r="S1652" t="str">
            <v xml:space="preserve"> - </v>
          </cell>
          <cell r="T1652">
            <v>0</v>
          </cell>
        </row>
        <row r="1653">
          <cell r="S1653" t="str">
            <v xml:space="preserve"> - </v>
          </cell>
          <cell r="T1653">
            <v>0</v>
          </cell>
        </row>
        <row r="1654">
          <cell r="S1654" t="str">
            <v xml:space="preserve"> - </v>
          </cell>
          <cell r="T1654">
            <v>0</v>
          </cell>
        </row>
        <row r="1655">
          <cell r="S1655" t="str">
            <v xml:space="preserve"> - </v>
          </cell>
          <cell r="T1655">
            <v>0</v>
          </cell>
        </row>
        <row r="1656">
          <cell r="S1656" t="str">
            <v xml:space="preserve"> - </v>
          </cell>
          <cell r="T1656">
            <v>0</v>
          </cell>
        </row>
        <row r="1657">
          <cell r="S1657" t="str">
            <v xml:space="preserve"> - </v>
          </cell>
          <cell r="T1657">
            <v>0</v>
          </cell>
        </row>
        <row r="1658">
          <cell r="S1658" t="str">
            <v xml:space="preserve"> - </v>
          </cell>
          <cell r="T1658">
            <v>0</v>
          </cell>
        </row>
        <row r="1659">
          <cell r="S1659" t="str">
            <v xml:space="preserve"> - </v>
          </cell>
          <cell r="T1659">
            <v>0</v>
          </cell>
        </row>
        <row r="1660">
          <cell r="S1660" t="str">
            <v xml:space="preserve"> - </v>
          </cell>
          <cell r="T1660">
            <v>0</v>
          </cell>
        </row>
        <row r="1661">
          <cell r="S1661" t="str">
            <v xml:space="preserve"> - </v>
          </cell>
          <cell r="T1661">
            <v>0</v>
          </cell>
        </row>
        <row r="1662">
          <cell r="S1662" t="str">
            <v xml:space="preserve"> - </v>
          </cell>
          <cell r="T1662">
            <v>0</v>
          </cell>
        </row>
        <row r="1663">
          <cell r="S1663" t="str">
            <v xml:space="preserve"> - </v>
          </cell>
          <cell r="T1663">
            <v>0</v>
          </cell>
        </row>
        <row r="1664">
          <cell r="S1664" t="str">
            <v xml:space="preserve"> - </v>
          </cell>
          <cell r="T1664">
            <v>0</v>
          </cell>
        </row>
        <row r="1665">
          <cell r="S1665" t="str">
            <v xml:space="preserve"> - </v>
          </cell>
          <cell r="T1665">
            <v>0</v>
          </cell>
        </row>
        <row r="1666">
          <cell r="S1666" t="str">
            <v xml:space="preserve"> - </v>
          </cell>
          <cell r="T1666">
            <v>0</v>
          </cell>
        </row>
        <row r="1667">
          <cell r="S1667" t="str">
            <v xml:space="preserve"> - </v>
          </cell>
          <cell r="T1667">
            <v>0</v>
          </cell>
        </row>
        <row r="1668">
          <cell r="S1668" t="str">
            <v xml:space="preserve"> - </v>
          </cell>
          <cell r="T1668">
            <v>0</v>
          </cell>
        </row>
        <row r="1669">
          <cell r="S1669" t="str">
            <v xml:space="preserve"> - </v>
          </cell>
          <cell r="T1669">
            <v>0</v>
          </cell>
        </row>
        <row r="1670">
          <cell r="S1670" t="str">
            <v xml:space="preserve"> - </v>
          </cell>
          <cell r="T1670">
            <v>0</v>
          </cell>
        </row>
        <row r="1671">
          <cell r="S1671" t="str">
            <v xml:space="preserve"> - </v>
          </cell>
          <cell r="T1671">
            <v>0</v>
          </cell>
        </row>
        <row r="1672">
          <cell r="S1672" t="str">
            <v xml:space="preserve"> - </v>
          </cell>
          <cell r="T1672">
            <v>0</v>
          </cell>
        </row>
        <row r="1673">
          <cell r="S1673" t="str">
            <v xml:space="preserve"> - </v>
          </cell>
          <cell r="T1673">
            <v>0</v>
          </cell>
        </row>
        <row r="1674">
          <cell r="S1674" t="str">
            <v xml:space="preserve"> - </v>
          </cell>
          <cell r="T1674">
            <v>0</v>
          </cell>
        </row>
        <row r="1675">
          <cell r="S1675" t="str">
            <v xml:space="preserve"> - </v>
          </cell>
          <cell r="T1675">
            <v>0</v>
          </cell>
        </row>
        <row r="1676">
          <cell r="S1676" t="str">
            <v xml:space="preserve"> - </v>
          </cell>
          <cell r="T1676">
            <v>0</v>
          </cell>
        </row>
        <row r="1677">
          <cell r="S1677" t="str">
            <v xml:space="preserve"> - </v>
          </cell>
          <cell r="T1677">
            <v>0</v>
          </cell>
        </row>
        <row r="1678">
          <cell r="S1678" t="str">
            <v xml:space="preserve"> - </v>
          </cell>
          <cell r="T1678">
            <v>0</v>
          </cell>
        </row>
        <row r="1679">
          <cell r="S1679" t="str">
            <v xml:space="preserve"> - </v>
          </cell>
          <cell r="T1679">
            <v>0</v>
          </cell>
        </row>
        <row r="1680">
          <cell r="S1680" t="str">
            <v xml:space="preserve"> - </v>
          </cell>
          <cell r="T1680">
            <v>0</v>
          </cell>
        </row>
        <row r="1681">
          <cell r="S1681" t="str">
            <v xml:space="preserve"> - </v>
          </cell>
          <cell r="T1681">
            <v>0</v>
          </cell>
        </row>
        <row r="1682">
          <cell r="S1682" t="str">
            <v xml:space="preserve"> - </v>
          </cell>
          <cell r="T1682">
            <v>0</v>
          </cell>
        </row>
        <row r="1683">
          <cell r="S1683" t="str">
            <v xml:space="preserve"> - </v>
          </cell>
          <cell r="T1683">
            <v>0</v>
          </cell>
        </row>
        <row r="1684">
          <cell r="S1684" t="str">
            <v xml:space="preserve"> - </v>
          </cell>
          <cell r="T1684">
            <v>0</v>
          </cell>
        </row>
        <row r="1685">
          <cell r="S1685" t="str">
            <v xml:space="preserve"> - </v>
          </cell>
          <cell r="T1685">
            <v>0</v>
          </cell>
        </row>
        <row r="1686">
          <cell r="S1686" t="str">
            <v xml:space="preserve"> - </v>
          </cell>
          <cell r="T1686">
            <v>0</v>
          </cell>
        </row>
        <row r="1687">
          <cell r="S1687" t="str">
            <v xml:space="preserve"> - </v>
          </cell>
          <cell r="T1687">
            <v>0</v>
          </cell>
        </row>
        <row r="1688">
          <cell r="S1688" t="str">
            <v xml:space="preserve"> - </v>
          </cell>
          <cell r="T1688">
            <v>0</v>
          </cell>
        </row>
        <row r="1689">
          <cell r="S1689" t="str">
            <v xml:space="preserve"> - </v>
          </cell>
          <cell r="T1689">
            <v>0</v>
          </cell>
        </row>
        <row r="1690">
          <cell r="S1690" t="str">
            <v xml:space="preserve"> - </v>
          </cell>
          <cell r="T1690">
            <v>0</v>
          </cell>
        </row>
        <row r="1691">
          <cell r="S1691" t="str">
            <v xml:space="preserve"> - </v>
          </cell>
          <cell r="T1691">
            <v>0</v>
          </cell>
        </row>
        <row r="1692">
          <cell r="S1692" t="str">
            <v xml:space="preserve"> - </v>
          </cell>
          <cell r="T1692">
            <v>0</v>
          </cell>
        </row>
        <row r="1693">
          <cell r="S1693" t="str">
            <v xml:space="preserve"> - </v>
          </cell>
          <cell r="T1693">
            <v>0</v>
          </cell>
        </row>
        <row r="1694">
          <cell r="S1694" t="str">
            <v xml:space="preserve"> - </v>
          </cell>
          <cell r="T1694">
            <v>0</v>
          </cell>
        </row>
        <row r="1695">
          <cell r="S1695" t="str">
            <v xml:space="preserve"> - </v>
          </cell>
          <cell r="T1695">
            <v>0</v>
          </cell>
        </row>
        <row r="1696">
          <cell r="S1696" t="str">
            <v xml:space="preserve"> - </v>
          </cell>
          <cell r="T1696">
            <v>0</v>
          </cell>
        </row>
        <row r="1697">
          <cell r="S1697" t="str">
            <v xml:space="preserve"> - </v>
          </cell>
          <cell r="T1697">
            <v>0</v>
          </cell>
        </row>
        <row r="1698">
          <cell r="S1698" t="str">
            <v xml:space="preserve"> - </v>
          </cell>
          <cell r="T1698">
            <v>0</v>
          </cell>
        </row>
        <row r="1699">
          <cell r="S1699" t="str">
            <v xml:space="preserve"> - </v>
          </cell>
          <cell r="T1699">
            <v>0</v>
          </cell>
        </row>
        <row r="1700">
          <cell r="S1700" t="str">
            <v xml:space="preserve"> - </v>
          </cell>
          <cell r="T1700">
            <v>0</v>
          </cell>
        </row>
        <row r="1701">
          <cell r="S1701" t="str">
            <v xml:space="preserve"> - </v>
          </cell>
          <cell r="T1701">
            <v>0</v>
          </cell>
        </row>
        <row r="1702">
          <cell r="S1702" t="str">
            <v xml:space="preserve"> - </v>
          </cell>
          <cell r="T1702">
            <v>0</v>
          </cell>
        </row>
        <row r="1703">
          <cell r="S1703" t="str">
            <v xml:space="preserve"> - </v>
          </cell>
          <cell r="T1703">
            <v>0</v>
          </cell>
        </row>
        <row r="1704">
          <cell r="S1704" t="str">
            <v xml:space="preserve"> - </v>
          </cell>
          <cell r="T1704">
            <v>0</v>
          </cell>
        </row>
        <row r="1705">
          <cell r="S1705" t="str">
            <v xml:space="preserve"> - </v>
          </cell>
          <cell r="T1705">
            <v>0</v>
          </cell>
        </row>
        <row r="1706">
          <cell r="S1706" t="str">
            <v xml:space="preserve"> - </v>
          </cell>
          <cell r="T1706">
            <v>0</v>
          </cell>
        </row>
        <row r="1707">
          <cell r="S1707" t="str">
            <v xml:space="preserve"> - </v>
          </cell>
          <cell r="T1707">
            <v>0</v>
          </cell>
        </row>
        <row r="1708">
          <cell r="S1708" t="str">
            <v xml:space="preserve"> - </v>
          </cell>
          <cell r="T1708">
            <v>0</v>
          </cell>
        </row>
        <row r="1709">
          <cell r="S1709" t="str">
            <v xml:space="preserve"> - </v>
          </cell>
          <cell r="T1709">
            <v>0</v>
          </cell>
        </row>
        <row r="1710">
          <cell r="S1710" t="str">
            <v xml:space="preserve"> - </v>
          </cell>
          <cell r="T1710">
            <v>0</v>
          </cell>
        </row>
        <row r="1711">
          <cell r="S1711" t="str">
            <v xml:space="preserve"> - </v>
          </cell>
          <cell r="T1711">
            <v>0</v>
          </cell>
        </row>
        <row r="1712">
          <cell r="S1712" t="str">
            <v xml:space="preserve"> - </v>
          </cell>
          <cell r="T1712">
            <v>0</v>
          </cell>
        </row>
        <row r="1713">
          <cell r="S1713" t="str">
            <v xml:space="preserve"> - </v>
          </cell>
          <cell r="T1713">
            <v>0</v>
          </cell>
        </row>
        <row r="1714">
          <cell r="S1714" t="str">
            <v xml:space="preserve"> - </v>
          </cell>
          <cell r="T1714">
            <v>0</v>
          </cell>
        </row>
        <row r="1715">
          <cell r="S1715" t="str">
            <v xml:space="preserve"> - </v>
          </cell>
          <cell r="T1715">
            <v>0</v>
          </cell>
        </row>
        <row r="1716">
          <cell r="S1716" t="str">
            <v xml:space="preserve"> - </v>
          </cell>
          <cell r="T1716">
            <v>0</v>
          </cell>
        </row>
        <row r="1717">
          <cell r="S1717" t="str">
            <v xml:space="preserve"> - </v>
          </cell>
          <cell r="T1717">
            <v>0</v>
          </cell>
        </row>
        <row r="1718">
          <cell r="S1718" t="str">
            <v xml:space="preserve"> - </v>
          </cell>
          <cell r="T1718">
            <v>0</v>
          </cell>
        </row>
        <row r="1719">
          <cell r="S1719" t="str">
            <v xml:space="preserve"> - </v>
          </cell>
          <cell r="T1719">
            <v>0</v>
          </cell>
        </row>
        <row r="1720">
          <cell r="S1720" t="str">
            <v xml:space="preserve"> - </v>
          </cell>
          <cell r="T1720">
            <v>0</v>
          </cell>
        </row>
        <row r="1721">
          <cell r="S1721" t="str">
            <v xml:space="preserve"> - </v>
          </cell>
          <cell r="T1721">
            <v>0</v>
          </cell>
        </row>
        <row r="1722">
          <cell r="S1722" t="str">
            <v xml:space="preserve"> - </v>
          </cell>
          <cell r="T1722">
            <v>0</v>
          </cell>
        </row>
        <row r="1723">
          <cell r="S1723" t="str">
            <v xml:space="preserve"> - </v>
          </cell>
          <cell r="T1723">
            <v>0</v>
          </cell>
        </row>
        <row r="1724">
          <cell r="S1724" t="str">
            <v xml:space="preserve"> - </v>
          </cell>
          <cell r="T1724">
            <v>0</v>
          </cell>
        </row>
        <row r="1725">
          <cell r="S1725" t="str">
            <v xml:space="preserve"> - </v>
          </cell>
          <cell r="T1725">
            <v>0</v>
          </cell>
        </row>
        <row r="1726">
          <cell r="S1726" t="str">
            <v xml:space="preserve"> - </v>
          </cell>
          <cell r="T1726">
            <v>0</v>
          </cell>
        </row>
        <row r="1727">
          <cell r="S1727" t="str">
            <v xml:space="preserve"> - </v>
          </cell>
          <cell r="T1727">
            <v>0</v>
          </cell>
        </row>
        <row r="1728">
          <cell r="S1728" t="str">
            <v xml:space="preserve"> - </v>
          </cell>
          <cell r="T1728">
            <v>0</v>
          </cell>
        </row>
        <row r="1729">
          <cell r="S1729" t="str">
            <v xml:space="preserve"> - </v>
          </cell>
          <cell r="T1729">
            <v>0</v>
          </cell>
        </row>
        <row r="1730">
          <cell r="S1730" t="str">
            <v xml:space="preserve"> - </v>
          </cell>
          <cell r="T1730">
            <v>0</v>
          </cell>
        </row>
        <row r="1731">
          <cell r="S1731" t="str">
            <v xml:space="preserve"> - </v>
          </cell>
          <cell r="T1731">
            <v>0</v>
          </cell>
        </row>
        <row r="1732">
          <cell r="S1732" t="str">
            <v xml:space="preserve"> - </v>
          </cell>
          <cell r="T1732">
            <v>0</v>
          </cell>
        </row>
        <row r="1733">
          <cell r="S1733" t="str">
            <v xml:space="preserve"> - </v>
          </cell>
          <cell r="T1733">
            <v>0</v>
          </cell>
        </row>
        <row r="1734">
          <cell r="S1734" t="str">
            <v xml:space="preserve"> - </v>
          </cell>
          <cell r="T1734">
            <v>0</v>
          </cell>
        </row>
        <row r="1735">
          <cell r="S1735" t="str">
            <v xml:space="preserve"> - </v>
          </cell>
          <cell r="T1735">
            <v>0</v>
          </cell>
        </row>
        <row r="1736">
          <cell r="S1736" t="str">
            <v xml:space="preserve"> - </v>
          </cell>
          <cell r="T1736">
            <v>0</v>
          </cell>
        </row>
        <row r="1737">
          <cell r="S1737" t="str">
            <v xml:space="preserve"> - </v>
          </cell>
          <cell r="T1737">
            <v>0</v>
          </cell>
        </row>
        <row r="1738">
          <cell r="S1738" t="str">
            <v xml:space="preserve"> - </v>
          </cell>
          <cell r="T1738">
            <v>0</v>
          </cell>
        </row>
        <row r="1739">
          <cell r="S1739" t="str">
            <v xml:space="preserve"> - </v>
          </cell>
          <cell r="T1739">
            <v>0</v>
          </cell>
        </row>
        <row r="1740">
          <cell r="S1740" t="str">
            <v xml:space="preserve"> - </v>
          </cell>
          <cell r="T1740">
            <v>0</v>
          </cell>
        </row>
        <row r="1741">
          <cell r="S1741" t="str">
            <v xml:space="preserve"> - </v>
          </cell>
          <cell r="T1741">
            <v>0</v>
          </cell>
        </row>
        <row r="1742">
          <cell r="S1742" t="str">
            <v xml:space="preserve"> - </v>
          </cell>
          <cell r="T1742">
            <v>0</v>
          </cell>
        </row>
        <row r="1743">
          <cell r="S1743" t="str">
            <v xml:space="preserve"> - </v>
          </cell>
          <cell r="T1743">
            <v>0</v>
          </cell>
        </row>
        <row r="1744">
          <cell r="S1744" t="str">
            <v xml:space="preserve"> - </v>
          </cell>
          <cell r="T1744">
            <v>0</v>
          </cell>
        </row>
        <row r="1745">
          <cell r="S1745" t="str">
            <v xml:space="preserve"> - </v>
          </cell>
          <cell r="T1745">
            <v>0</v>
          </cell>
        </row>
        <row r="1746">
          <cell r="S1746" t="str">
            <v xml:space="preserve"> - </v>
          </cell>
          <cell r="T1746">
            <v>0</v>
          </cell>
        </row>
        <row r="1747">
          <cell r="S1747" t="str">
            <v xml:space="preserve"> - </v>
          </cell>
          <cell r="T1747">
            <v>0</v>
          </cell>
        </row>
        <row r="1748">
          <cell r="S1748" t="str">
            <v xml:space="preserve"> - </v>
          </cell>
          <cell r="T1748">
            <v>0</v>
          </cell>
        </row>
        <row r="1749">
          <cell r="S1749" t="str">
            <v xml:space="preserve"> - </v>
          </cell>
          <cell r="T1749">
            <v>0</v>
          </cell>
        </row>
        <row r="1750">
          <cell r="S1750" t="str">
            <v xml:space="preserve"> - </v>
          </cell>
          <cell r="T1750">
            <v>0</v>
          </cell>
        </row>
        <row r="1751">
          <cell r="S1751" t="str">
            <v xml:space="preserve"> - </v>
          </cell>
          <cell r="T1751">
            <v>0</v>
          </cell>
        </row>
        <row r="1752">
          <cell r="S1752" t="str">
            <v xml:space="preserve"> - </v>
          </cell>
          <cell r="T1752">
            <v>0</v>
          </cell>
        </row>
        <row r="1753">
          <cell r="S1753" t="str">
            <v xml:space="preserve"> - </v>
          </cell>
          <cell r="T1753">
            <v>0</v>
          </cell>
        </row>
        <row r="1754">
          <cell r="S1754" t="str">
            <v xml:space="preserve"> - </v>
          </cell>
          <cell r="T1754">
            <v>0</v>
          </cell>
        </row>
        <row r="1755">
          <cell r="S1755" t="str">
            <v xml:space="preserve"> - </v>
          </cell>
          <cell r="T1755">
            <v>0</v>
          </cell>
        </row>
        <row r="1756">
          <cell r="S1756" t="str">
            <v xml:space="preserve"> - </v>
          </cell>
          <cell r="T1756">
            <v>0</v>
          </cell>
        </row>
        <row r="1757">
          <cell r="S1757" t="str">
            <v xml:space="preserve"> - </v>
          </cell>
          <cell r="T1757">
            <v>0</v>
          </cell>
        </row>
        <row r="1758">
          <cell r="S1758" t="str">
            <v xml:space="preserve"> - </v>
          </cell>
          <cell r="T1758">
            <v>0</v>
          </cell>
        </row>
        <row r="1759">
          <cell r="S1759" t="str">
            <v xml:space="preserve"> - </v>
          </cell>
          <cell r="T1759">
            <v>0</v>
          </cell>
        </row>
        <row r="1760">
          <cell r="S1760" t="str">
            <v xml:space="preserve"> - </v>
          </cell>
          <cell r="T1760">
            <v>0</v>
          </cell>
        </row>
        <row r="1761">
          <cell r="S1761" t="str">
            <v xml:space="preserve"> - </v>
          </cell>
          <cell r="T1761">
            <v>0</v>
          </cell>
        </row>
        <row r="1762">
          <cell r="S1762" t="str">
            <v xml:space="preserve"> - </v>
          </cell>
          <cell r="T1762">
            <v>0</v>
          </cell>
        </row>
        <row r="1763">
          <cell r="S1763" t="str">
            <v xml:space="preserve"> - </v>
          </cell>
          <cell r="T1763">
            <v>0</v>
          </cell>
        </row>
        <row r="1764">
          <cell r="S1764" t="str">
            <v xml:space="preserve"> - </v>
          </cell>
          <cell r="T1764">
            <v>0</v>
          </cell>
        </row>
        <row r="1765">
          <cell r="S1765" t="str">
            <v xml:space="preserve"> - </v>
          </cell>
          <cell r="T1765">
            <v>0</v>
          </cell>
        </row>
        <row r="1766">
          <cell r="S1766" t="str">
            <v xml:space="preserve"> - </v>
          </cell>
          <cell r="T1766">
            <v>0</v>
          </cell>
        </row>
        <row r="1767">
          <cell r="S1767" t="str">
            <v xml:space="preserve"> - </v>
          </cell>
          <cell r="T1767">
            <v>0</v>
          </cell>
        </row>
        <row r="1768">
          <cell r="S1768" t="str">
            <v xml:space="preserve"> - </v>
          </cell>
          <cell r="T1768">
            <v>0</v>
          </cell>
        </row>
        <row r="1769">
          <cell r="S1769" t="str">
            <v xml:space="preserve"> - </v>
          </cell>
          <cell r="T1769">
            <v>0</v>
          </cell>
        </row>
        <row r="1770">
          <cell r="S1770" t="str">
            <v xml:space="preserve"> - </v>
          </cell>
          <cell r="T1770">
            <v>0</v>
          </cell>
        </row>
        <row r="1771">
          <cell r="S1771" t="str">
            <v xml:space="preserve"> - </v>
          </cell>
          <cell r="T1771">
            <v>0</v>
          </cell>
        </row>
        <row r="1772">
          <cell r="S1772" t="str">
            <v xml:space="preserve"> - </v>
          </cell>
          <cell r="T1772">
            <v>0</v>
          </cell>
        </row>
        <row r="1773">
          <cell r="S1773" t="str">
            <v xml:space="preserve"> - </v>
          </cell>
          <cell r="T1773">
            <v>0</v>
          </cell>
        </row>
        <row r="1774">
          <cell r="S1774" t="str">
            <v xml:space="preserve"> - </v>
          </cell>
          <cell r="T1774">
            <v>0</v>
          </cell>
        </row>
        <row r="1775">
          <cell r="S1775" t="str">
            <v xml:space="preserve"> - </v>
          </cell>
          <cell r="T1775">
            <v>0</v>
          </cell>
        </row>
        <row r="1776">
          <cell r="S1776" t="str">
            <v xml:space="preserve"> - </v>
          </cell>
          <cell r="T1776">
            <v>0</v>
          </cell>
        </row>
        <row r="1777">
          <cell r="S1777" t="str">
            <v xml:space="preserve"> - </v>
          </cell>
          <cell r="T1777">
            <v>0</v>
          </cell>
        </row>
        <row r="1778">
          <cell r="S1778" t="str">
            <v xml:space="preserve"> - </v>
          </cell>
          <cell r="T1778">
            <v>0</v>
          </cell>
        </row>
        <row r="1779">
          <cell r="S1779" t="str">
            <v xml:space="preserve"> - </v>
          </cell>
          <cell r="T1779">
            <v>0</v>
          </cell>
        </row>
        <row r="1780">
          <cell r="S1780" t="str">
            <v xml:space="preserve"> - </v>
          </cell>
          <cell r="T1780">
            <v>0</v>
          </cell>
        </row>
        <row r="1781">
          <cell r="S1781" t="str">
            <v xml:space="preserve"> - </v>
          </cell>
          <cell r="T1781">
            <v>0</v>
          </cell>
        </row>
        <row r="1782">
          <cell r="S1782" t="str">
            <v xml:space="preserve"> - </v>
          </cell>
          <cell r="T1782">
            <v>0</v>
          </cell>
        </row>
        <row r="1783">
          <cell r="S1783" t="str">
            <v xml:space="preserve"> - </v>
          </cell>
          <cell r="T1783">
            <v>0</v>
          </cell>
        </row>
        <row r="1784">
          <cell r="S1784" t="str">
            <v xml:space="preserve"> - </v>
          </cell>
          <cell r="T1784">
            <v>0</v>
          </cell>
        </row>
        <row r="1785">
          <cell r="S1785" t="str">
            <v xml:space="preserve"> - </v>
          </cell>
          <cell r="T1785">
            <v>0</v>
          </cell>
        </row>
        <row r="1786">
          <cell r="S1786" t="str">
            <v xml:space="preserve"> - </v>
          </cell>
          <cell r="T1786">
            <v>0</v>
          </cell>
        </row>
        <row r="1787">
          <cell r="S1787" t="str">
            <v xml:space="preserve"> - </v>
          </cell>
          <cell r="T1787">
            <v>0</v>
          </cell>
        </row>
        <row r="1788">
          <cell r="S1788" t="str">
            <v xml:space="preserve"> - </v>
          </cell>
          <cell r="T1788">
            <v>0</v>
          </cell>
        </row>
        <row r="1789">
          <cell r="S1789" t="str">
            <v xml:space="preserve"> - </v>
          </cell>
          <cell r="T1789">
            <v>0</v>
          </cell>
        </row>
        <row r="1790">
          <cell r="S1790" t="str">
            <v xml:space="preserve"> - </v>
          </cell>
          <cell r="T1790">
            <v>0</v>
          </cell>
        </row>
        <row r="1791">
          <cell r="S1791" t="str">
            <v xml:space="preserve"> - </v>
          </cell>
          <cell r="T1791">
            <v>0</v>
          </cell>
        </row>
        <row r="1792">
          <cell r="S1792" t="str">
            <v xml:space="preserve"> - </v>
          </cell>
          <cell r="T1792">
            <v>0</v>
          </cell>
        </row>
        <row r="1793">
          <cell r="S1793" t="str">
            <v xml:space="preserve"> - </v>
          </cell>
          <cell r="T1793">
            <v>0</v>
          </cell>
        </row>
        <row r="1794">
          <cell r="S1794" t="str">
            <v xml:space="preserve"> - </v>
          </cell>
          <cell r="T1794">
            <v>0</v>
          </cell>
        </row>
        <row r="1795">
          <cell r="S1795" t="str">
            <v xml:space="preserve"> - </v>
          </cell>
          <cell r="T1795">
            <v>0</v>
          </cell>
        </row>
        <row r="1796">
          <cell r="S1796" t="str">
            <v xml:space="preserve"> - </v>
          </cell>
          <cell r="T1796">
            <v>0</v>
          </cell>
        </row>
        <row r="1797">
          <cell r="S1797" t="str">
            <v xml:space="preserve"> - </v>
          </cell>
          <cell r="T1797">
            <v>0</v>
          </cell>
        </row>
        <row r="1798">
          <cell r="S1798" t="str">
            <v xml:space="preserve"> - </v>
          </cell>
          <cell r="T1798">
            <v>0</v>
          </cell>
        </row>
        <row r="1799">
          <cell r="S1799" t="str">
            <v xml:space="preserve"> - </v>
          </cell>
          <cell r="T1799">
            <v>0</v>
          </cell>
        </row>
        <row r="1800">
          <cell r="S1800" t="str">
            <v xml:space="preserve"> - </v>
          </cell>
          <cell r="T1800">
            <v>0</v>
          </cell>
        </row>
        <row r="1801">
          <cell r="S1801" t="str">
            <v xml:space="preserve"> - </v>
          </cell>
          <cell r="T1801">
            <v>0</v>
          </cell>
        </row>
        <row r="1802">
          <cell r="S1802" t="str">
            <v xml:space="preserve"> - </v>
          </cell>
          <cell r="T1802">
            <v>0</v>
          </cell>
        </row>
        <row r="1803">
          <cell r="S1803" t="str">
            <v xml:space="preserve"> - </v>
          </cell>
          <cell r="T1803">
            <v>0</v>
          </cell>
        </row>
        <row r="1804">
          <cell r="S1804" t="str">
            <v xml:space="preserve"> - </v>
          </cell>
          <cell r="T1804">
            <v>0</v>
          </cell>
        </row>
        <row r="1805">
          <cell r="S1805" t="str">
            <v xml:space="preserve"> - </v>
          </cell>
          <cell r="T1805">
            <v>0</v>
          </cell>
        </row>
        <row r="1806">
          <cell r="S1806" t="str">
            <v xml:space="preserve"> - </v>
          </cell>
          <cell r="T1806">
            <v>0</v>
          </cell>
        </row>
        <row r="1807">
          <cell r="S1807" t="str">
            <v xml:space="preserve"> - </v>
          </cell>
          <cell r="T1807">
            <v>0</v>
          </cell>
        </row>
        <row r="1808">
          <cell r="S1808" t="str">
            <v xml:space="preserve"> - </v>
          </cell>
          <cell r="T1808">
            <v>0</v>
          </cell>
        </row>
        <row r="1809">
          <cell r="S1809" t="str">
            <v xml:space="preserve"> - </v>
          </cell>
          <cell r="T1809">
            <v>0</v>
          </cell>
        </row>
        <row r="1810">
          <cell r="S1810" t="str">
            <v xml:space="preserve"> - </v>
          </cell>
          <cell r="T1810">
            <v>0</v>
          </cell>
        </row>
        <row r="1811">
          <cell r="S1811" t="str">
            <v xml:space="preserve"> - </v>
          </cell>
          <cell r="T1811">
            <v>0</v>
          </cell>
        </row>
        <row r="1812">
          <cell r="S1812" t="str">
            <v xml:space="preserve"> - </v>
          </cell>
          <cell r="T1812">
            <v>0</v>
          </cell>
        </row>
        <row r="1813">
          <cell r="S1813" t="str">
            <v xml:space="preserve"> - </v>
          </cell>
          <cell r="T1813">
            <v>0</v>
          </cell>
        </row>
        <row r="1814">
          <cell r="S1814" t="str">
            <v xml:space="preserve"> - </v>
          </cell>
          <cell r="T1814">
            <v>0</v>
          </cell>
        </row>
        <row r="1815">
          <cell r="S1815" t="str">
            <v xml:space="preserve"> - </v>
          </cell>
          <cell r="T1815">
            <v>0</v>
          </cell>
        </row>
        <row r="1816">
          <cell r="S1816" t="str">
            <v xml:space="preserve"> - </v>
          </cell>
          <cell r="T1816">
            <v>0</v>
          </cell>
        </row>
        <row r="1817">
          <cell r="S1817" t="str">
            <v xml:space="preserve"> - </v>
          </cell>
          <cell r="T1817">
            <v>0</v>
          </cell>
        </row>
        <row r="1818">
          <cell r="S1818" t="str">
            <v xml:space="preserve"> - </v>
          </cell>
          <cell r="T1818">
            <v>0</v>
          </cell>
        </row>
        <row r="1819">
          <cell r="S1819" t="str">
            <v xml:space="preserve"> - </v>
          </cell>
          <cell r="T1819">
            <v>0</v>
          </cell>
        </row>
        <row r="1820">
          <cell r="S1820" t="str">
            <v xml:space="preserve"> - </v>
          </cell>
          <cell r="T1820">
            <v>0</v>
          </cell>
        </row>
        <row r="1821">
          <cell r="S1821" t="str">
            <v xml:space="preserve"> - </v>
          </cell>
          <cell r="T1821">
            <v>0</v>
          </cell>
        </row>
        <row r="1822">
          <cell r="S1822" t="str">
            <v xml:space="preserve"> - </v>
          </cell>
          <cell r="T1822">
            <v>0</v>
          </cell>
        </row>
        <row r="1823">
          <cell r="S1823" t="str">
            <v xml:space="preserve"> - </v>
          </cell>
          <cell r="T1823">
            <v>0</v>
          </cell>
        </row>
        <row r="1824">
          <cell r="S1824" t="str">
            <v xml:space="preserve"> - </v>
          </cell>
          <cell r="T1824">
            <v>0</v>
          </cell>
        </row>
        <row r="1825">
          <cell r="S1825" t="str">
            <v xml:space="preserve"> - </v>
          </cell>
          <cell r="T1825">
            <v>0</v>
          </cell>
        </row>
        <row r="1826">
          <cell r="S1826" t="str">
            <v xml:space="preserve"> - </v>
          </cell>
          <cell r="T1826">
            <v>0</v>
          </cell>
        </row>
        <row r="1827">
          <cell r="S1827" t="str">
            <v xml:space="preserve"> - </v>
          </cell>
          <cell r="T1827">
            <v>0</v>
          </cell>
        </row>
        <row r="1828">
          <cell r="S1828" t="str">
            <v xml:space="preserve"> - </v>
          </cell>
          <cell r="T1828">
            <v>0</v>
          </cell>
        </row>
        <row r="1829">
          <cell r="S1829" t="str">
            <v xml:space="preserve"> - </v>
          </cell>
          <cell r="T1829">
            <v>0</v>
          </cell>
        </row>
        <row r="1830">
          <cell r="S1830" t="str">
            <v xml:space="preserve"> - </v>
          </cell>
          <cell r="T1830">
            <v>0</v>
          </cell>
        </row>
        <row r="1831">
          <cell r="S1831" t="str">
            <v xml:space="preserve"> - </v>
          </cell>
          <cell r="T1831">
            <v>0</v>
          </cell>
        </row>
        <row r="1832">
          <cell r="S1832" t="str">
            <v xml:space="preserve"> - </v>
          </cell>
          <cell r="T1832">
            <v>0</v>
          </cell>
        </row>
        <row r="1833">
          <cell r="S1833" t="str">
            <v xml:space="preserve"> - </v>
          </cell>
          <cell r="T1833">
            <v>0</v>
          </cell>
        </row>
        <row r="1834">
          <cell r="S1834" t="str">
            <v xml:space="preserve"> - </v>
          </cell>
          <cell r="T1834">
            <v>0</v>
          </cell>
        </row>
        <row r="1835">
          <cell r="S1835" t="str">
            <v xml:space="preserve"> - </v>
          </cell>
          <cell r="T1835">
            <v>0</v>
          </cell>
        </row>
        <row r="1836">
          <cell r="S1836" t="str">
            <v xml:space="preserve"> - </v>
          </cell>
          <cell r="T1836">
            <v>0</v>
          </cell>
        </row>
        <row r="1837">
          <cell r="S1837" t="str">
            <v xml:space="preserve"> - </v>
          </cell>
          <cell r="T1837">
            <v>0</v>
          </cell>
        </row>
        <row r="1838">
          <cell r="S1838" t="str">
            <v xml:space="preserve"> - </v>
          </cell>
          <cell r="T1838">
            <v>0</v>
          </cell>
        </row>
        <row r="1839">
          <cell r="S1839" t="str">
            <v xml:space="preserve"> - </v>
          </cell>
          <cell r="T1839">
            <v>0</v>
          </cell>
        </row>
        <row r="1840">
          <cell r="S1840" t="str">
            <v xml:space="preserve"> - </v>
          </cell>
          <cell r="T1840">
            <v>0</v>
          </cell>
        </row>
        <row r="1841">
          <cell r="S1841" t="str">
            <v xml:space="preserve"> - </v>
          </cell>
          <cell r="T1841">
            <v>0</v>
          </cell>
        </row>
        <row r="1842">
          <cell r="S1842" t="str">
            <v xml:space="preserve"> - </v>
          </cell>
          <cell r="T1842">
            <v>0</v>
          </cell>
        </row>
        <row r="1843">
          <cell r="S1843" t="str">
            <v xml:space="preserve"> - </v>
          </cell>
          <cell r="T1843">
            <v>0</v>
          </cell>
        </row>
        <row r="1844">
          <cell r="S1844" t="str">
            <v xml:space="preserve"> - </v>
          </cell>
          <cell r="T1844">
            <v>0</v>
          </cell>
        </row>
        <row r="1845">
          <cell r="S1845" t="str">
            <v xml:space="preserve"> - </v>
          </cell>
          <cell r="T1845">
            <v>0</v>
          </cell>
        </row>
        <row r="1846">
          <cell r="S1846" t="str">
            <v xml:space="preserve"> - </v>
          </cell>
          <cell r="T1846">
            <v>0</v>
          </cell>
        </row>
        <row r="1847">
          <cell r="S1847" t="str">
            <v xml:space="preserve"> - </v>
          </cell>
          <cell r="T1847">
            <v>0</v>
          </cell>
        </row>
        <row r="1848">
          <cell r="S1848" t="str">
            <v xml:space="preserve"> - </v>
          </cell>
          <cell r="T1848">
            <v>0</v>
          </cell>
        </row>
        <row r="1849">
          <cell r="S1849" t="str">
            <v xml:space="preserve"> - </v>
          </cell>
          <cell r="T1849">
            <v>0</v>
          </cell>
        </row>
        <row r="1850">
          <cell r="S1850" t="str">
            <v xml:space="preserve"> - </v>
          </cell>
          <cell r="T1850">
            <v>0</v>
          </cell>
        </row>
        <row r="1851">
          <cell r="S1851" t="str">
            <v xml:space="preserve"> - </v>
          </cell>
          <cell r="T1851">
            <v>0</v>
          </cell>
        </row>
        <row r="1852">
          <cell r="S1852" t="str">
            <v xml:space="preserve"> - </v>
          </cell>
          <cell r="T1852">
            <v>0</v>
          </cell>
        </row>
        <row r="1853">
          <cell r="S1853" t="str">
            <v xml:space="preserve"> - </v>
          </cell>
          <cell r="T1853">
            <v>0</v>
          </cell>
        </row>
        <row r="1854">
          <cell r="S1854" t="str">
            <v xml:space="preserve"> - </v>
          </cell>
          <cell r="T1854">
            <v>0</v>
          </cell>
        </row>
        <row r="1855">
          <cell r="S1855" t="str">
            <v xml:space="preserve"> - </v>
          </cell>
          <cell r="T1855">
            <v>0</v>
          </cell>
        </row>
        <row r="1856">
          <cell r="S1856" t="str">
            <v xml:space="preserve"> - </v>
          </cell>
          <cell r="T1856">
            <v>0</v>
          </cell>
        </row>
        <row r="1857">
          <cell r="S1857" t="str">
            <v xml:space="preserve"> - </v>
          </cell>
          <cell r="T1857">
            <v>0</v>
          </cell>
        </row>
        <row r="1858">
          <cell r="S1858" t="str">
            <v xml:space="preserve"> - </v>
          </cell>
          <cell r="T1858">
            <v>0</v>
          </cell>
        </row>
        <row r="1859">
          <cell r="S1859" t="str">
            <v xml:space="preserve"> - </v>
          </cell>
          <cell r="T1859">
            <v>0</v>
          </cell>
        </row>
        <row r="1860">
          <cell r="S1860" t="str">
            <v xml:space="preserve"> - </v>
          </cell>
          <cell r="T1860">
            <v>0</v>
          </cell>
        </row>
        <row r="1861">
          <cell r="S1861" t="str">
            <v xml:space="preserve"> - </v>
          </cell>
          <cell r="T1861">
            <v>0</v>
          </cell>
        </row>
        <row r="1862">
          <cell r="S1862" t="str">
            <v xml:space="preserve"> - </v>
          </cell>
          <cell r="T1862">
            <v>0</v>
          </cell>
        </row>
        <row r="1863">
          <cell r="S1863" t="str">
            <v xml:space="preserve"> - </v>
          </cell>
          <cell r="T1863">
            <v>0</v>
          </cell>
        </row>
        <row r="1864">
          <cell r="S1864" t="str">
            <v xml:space="preserve"> - </v>
          </cell>
          <cell r="T1864">
            <v>0</v>
          </cell>
        </row>
        <row r="1865">
          <cell r="S1865" t="str">
            <v xml:space="preserve"> - </v>
          </cell>
          <cell r="T1865">
            <v>0</v>
          </cell>
        </row>
        <row r="1866">
          <cell r="S1866" t="str">
            <v xml:space="preserve"> - </v>
          </cell>
          <cell r="T1866">
            <v>0</v>
          </cell>
        </row>
        <row r="1867">
          <cell r="S1867" t="str">
            <v xml:space="preserve"> - </v>
          </cell>
          <cell r="T1867">
            <v>0</v>
          </cell>
        </row>
        <row r="1868">
          <cell r="S1868" t="str">
            <v xml:space="preserve"> - </v>
          </cell>
          <cell r="T1868">
            <v>0</v>
          </cell>
        </row>
        <row r="1869">
          <cell r="S1869" t="str">
            <v xml:space="preserve"> - </v>
          </cell>
          <cell r="T1869">
            <v>0</v>
          </cell>
        </row>
        <row r="1870">
          <cell r="S1870" t="str">
            <v xml:space="preserve"> - </v>
          </cell>
          <cell r="T1870">
            <v>0</v>
          </cell>
        </row>
        <row r="1871">
          <cell r="S1871" t="str">
            <v xml:space="preserve"> - </v>
          </cell>
          <cell r="T1871">
            <v>0</v>
          </cell>
        </row>
        <row r="1872">
          <cell r="S1872" t="str">
            <v xml:space="preserve"> - </v>
          </cell>
          <cell r="T1872">
            <v>0</v>
          </cell>
        </row>
        <row r="1873">
          <cell r="S1873" t="str">
            <v xml:space="preserve"> - </v>
          </cell>
          <cell r="T1873">
            <v>0</v>
          </cell>
        </row>
        <row r="1874">
          <cell r="S1874" t="str">
            <v xml:space="preserve"> - </v>
          </cell>
          <cell r="T1874">
            <v>0</v>
          </cell>
        </row>
        <row r="1875">
          <cell r="S1875" t="str">
            <v xml:space="preserve"> - </v>
          </cell>
          <cell r="T1875">
            <v>0</v>
          </cell>
        </row>
        <row r="1876">
          <cell r="S1876" t="str">
            <v xml:space="preserve"> - </v>
          </cell>
          <cell r="T1876">
            <v>0</v>
          </cell>
        </row>
        <row r="1877">
          <cell r="S1877" t="str">
            <v xml:space="preserve"> - </v>
          </cell>
          <cell r="T1877">
            <v>0</v>
          </cell>
        </row>
        <row r="1878">
          <cell r="S1878" t="str">
            <v xml:space="preserve"> - </v>
          </cell>
          <cell r="T1878">
            <v>0</v>
          </cell>
        </row>
        <row r="1879">
          <cell r="S1879" t="str">
            <v xml:space="preserve"> - </v>
          </cell>
          <cell r="T1879">
            <v>0</v>
          </cell>
        </row>
        <row r="1880">
          <cell r="S1880" t="str">
            <v xml:space="preserve"> - </v>
          </cell>
          <cell r="T1880">
            <v>0</v>
          </cell>
        </row>
        <row r="1881">
          <cell r="S1881" t="str">
            <v xml:space="preserve"> - </v>
          </cell>
          <cell r="T1881">
            <v>0</v>
          </cell>
        </row>
        <row r="1882">
          <cell r="S1882" t="str">
            <v xml:space="preserve"> - </v>
          </cell>
          <cell r="T1882">
            <v>0</v>
          </cell>
        </row>
        <row r="1883">
          <cell r="S1883" t="str">
            <v xml:space="preserve"> - </v>
          </cell>
          <cell r="T1883">
            <v>0</v>
          </cell>
        </row>
        <row r="1884">
          <cell r="S1884" t="str">
            <v xml:space="preserve"> - </v>
          </cell>
          <cell r="T1884">
            <v>0</v>
          </cell>
        </row>
        <row r="1885">
          <cell r="S1885" t="str">
            <v xml:space="preserve"> - </v>
          </cell>
          <cell r="T1885">
            <v>0</v>
          </cell>
        </row>
        <row r="1886">
          <cell r="S1886" t="str">
            <v xml:space="preserve"> - </v>
          </cell>
          <cell r="T1886">
            <v>0</v>
          </cell>
        </row>
        <row r="1887">
          <cell r="S1887" t="str">
            <v xml:space="preserve"> - </v>
          </cell>
          <cell r="T1887">
            <v>0</v>
          </cell>
        </row>
        <row r="1888">
          <cell r="S1888" t="str">
            <v xml:space="preserve"> - </v>
          </cell>
          <cell r="T1888">
            <v>0</v>
          </cell>
        </row>
        <row r="1889">
          <cell r="S1889" t="str">
            <v xml:space="preserve"> - </v>
          </cell>
          <cell r="T1889">
            <v>0</v>
          </cell>
        </row>
        <row r="1890">
          <cell r="S1890" t="str">
            <v xml:space="preserve"> - </v>
          </cell>
          <cell r="T1890">
            <v>0</v>
          </cell>
        </row>
        <row r="1891">
          <cell r="S1891" t="str">
            <v xml:space="preserve"> - </v>
          </cell>
          <cell r="T1891">
            <v>0</v>
          </cell>
        </row>
        <row r="1892">
          <cell r="S1892" t="str">
            <v xml:space="preserve"> - </v>
          </cell>
          <cell r="T1892">
            <v>0</v>
          </cell>
        </row>
        <row r="1893">
          <cell r="S1893" t="str">
            <v xml:space="preserve"> - </v>
          </cell>
          <cell r="T1893">
            <v>0</v>
          </cell>
        </row>
        <row r="1894">
          <cell r="S1894" t="str">
            <v xml:space="preserve"> - </v>
          </cell>
          <cell r="T1894">
            <v>0</v>
          </cell>
        </row>
        <row r="1895">
          <cell r="S1895" t="str">
            <v xml:space="preserve"> - </v>
          </cell>
          <cell r="T1895">
            <v>0</v>
          </cell>
        </row>
        <row r="1896">
          <cell r="S1896" t="str">
            <v xml:space="preserve"> - </v>
          </cell>
          <cell r="T1896">
            <v>0</v>
          </cell>
        </row>
        <row r="1897">
          <cell r="S1897" t="str">
            <v xml:space="preserve"> - </v>
          </cell>
          <cell r="T1897">
            <v>0</v>
          </cell>
        </row>
        <row r="1898">
          <cell r="S1898" t="str">
            <v xml:space="preserve"> - </v>
          </cell>
          <cell r="T1898">
            <v>0</v>
          </cell>
        </row>
        <row r="1899">
          <cell r="S1899" t="str">
            <v xml:space="preserve"> - </v>
          </cell>
          <cell r="T1899">
            <v>0</v>
          </cell>
        </row>
        <row r="1900">
          <cell r="S1900" t="str">
            <v xml:space="preserve"> - </v>
          </cell>
          <cell r="T1900">
            <v>0</v>
          </cell>
        </row>
        <row r="1901">
          <cell r="S1901" t="str">
            <v xml:space="preserve"> - </v>
          </cell>
          <cell r="T1901">
            <v>0</v>
          </cell>
        </row>
        <row r="1902">
          <cell r="S1902" t="str">
            <v xml:space="preserve"> - </v>
          </cell>
          <cell r="T1902">
            <v>0</v>
          </cell>
        </row>
        <row r="1903">
          <cell r="S1903" t="str">
            <v xml:space="preserve"> - </v>
          </cell>
          <cell r="T1903">
            <v>0</v>
          </cell>
        </row>
        <row r="1904">
          <cell r="S1904" t="str">
            <v xml:space="preserve"> - </v>
          </cell>
          <cell r="T1904">
            <v>0</v>
          </cell>
        </row>
        <row r="1905">
          <cell r="S1905" t="str">
            <v xml:space="preserve"> - </v>
          </cell>
          <cell r="T1905">
            <v>0</v>
          </cell>
        </row>
        <row r="1906">
          <cell r="S1906" t="str">
            <v xml:space="preserve"> - </v>
          </cell>
          <cell r="T1906">
            <v>0</v>
          </cell>
        </row>
        <row r="1907">
          <cell r="S1907" t="str">
            <v xml:space="preserve"> - </v>
          </cell>
          <cell r="T1907">
            <v>0</v>
          </cell>
        </row>
        <row r="1908">
          <cell r="S1908" t="str">
            <v xml:space="preserve"> - </v>
          </cell>
          <cell r="T1908">
            <v>0</v>
          </cell>
        </row>
        <row r="1909">
          <cell r="S1909" t="str">
            <v xml:space="preserve"> - </v>
          </cell>
          <cell r="T1909">
            <v>0</v>
          </cell>
        </row>
        <row r="1910">
          <cell r="S1910" t="str">
            <v xml:space="preserve"> - </v>
          </cell>
          <cell r="T1910">
            <v>0</v>
          </cell>
        </row>
        <row r="1911">
          <cell r="S1911" t="str">
            <v xml:space="preserve"> - </v>
          </cell>
          <cell r="T1911">
            <v>0</v>
          </cell>
        </row>
        <row r="1912">
          <cell r="S1912" t="str">
            <v xml:space="preserve"> - </v>
          </cell>
          <cell r="T1912">
            <v>0</v>
          </cell>
        </row>
        <row r="1913">
          <cell r="S1913" t="str">
            <v xml:space="preserve"> - </v>
          </cell>
          <cell r="T1913">
            <v>0</v>
          </cell>
        </row>
        <row r="1914">
          <cell r="S1914" t="str">
            <v xml:space="preserve"> - </v>
          </cell>
          <cell r="T1914">
            <v>0</v>
          </cell>
        </row>
        <row r="1915">
          <cell r="S1915" t="str">
            <v xml:space="preserve"> - </v>
          </cell>
          <cell r="T1915">
            <v>0</v>
          </cell>
        </row>
        <row r="1916">
          <cell r="S1916" t="str">
            <v xml:space="preserve"> - </v>
          </cell>
          <cell r="T1916">
            <v>0</v>
          </cell>
        </row>
        <row r="1917">
          <cell r="S1917" t="str">
            <v xml:space="preserve"> - </v>
          </cell>
          <cell r="T1917">
            <v>0</v>
          </cell>
        </row>
        <row r="1918">
          <cell r="S1918" t="str">
            <v xml:space="preserve"> - </v>
          </cell>
          <cell r="T1918">
            <v>0</v>
          </cell>
        </row>
        <row r="1919">
          <cell r="S1919" t="str">
            <v xml:space="preserve"> - </v>
          </cell>
          <cell r="T1919">
            <v>0</v>
          </cell>
        </row>
        <row r="1920">
          <cell r="S1920" t="str">
            <v xml:space="preserve"> - </v>
          </cell>
          <cell r="T1920">
            <v>0</v>
          </cell>
        </row>
        <row r="1921">
          <cell r="S1921" t="str">
            <v xml:space="preserve"> - </v>
          </cell>
          <cell r="T1921">
            <v>0</v>
          </cell>
        </row>
        <row r="1922">
          <cell r="S1922" t="str">
            <v xml:space="preserve"> - </v>
          </cell>
          <cell r="T1922">
            <v>0</v>
          </cell>
        </row>
        <row r="1923">
          <cell r="S1923" t="str">
            <v xml:space="preserve"> - </v>
          </cell>
          <cell r="T1923">
            <v>0</v>
          </cell>
        </row>
        <row r="1924">
          <cell r="S1924" t="str">
            <v xml:space="preserve"> - </v>
          </cell>
          <cell r="T1924">
            <v>0</v>
          </cell>
        </row>
        <row r="1925">
          <cell r="S1925" t="str">
            <v xml:space="preserve"> - </v>
          </cell>
          <cell r="T1925">
            <v>0</v>
          </cell>
        </row>
        <row r="1926">
          <cell r="S1926" t="str">
            <v xml:space="preserve"> - </v>
          </cell>
          <cell r="T1926">
            <v>0</v>
          </cell>
        </row>
        <row r="1927">
          <cell r="S1927" t="str">
            <v xml:space="preserve"> - </v>
          </cell>
          <cell r="T1927">
            <v>0</v>
          </cell>
        </row>
        <row r="1928">
          <cell r="S1928" t="str">
            <v xml:space="preserve"> - </v>
          </cell>
          <cell r="T1928">
            <v>0</v>
          </cell>
        </row>
        <row r="1929">
          <cell r="S1929" t="str">
            <v xml:space="preserve"> - </v>
          </cell>
          <cell r="T1929">
            <v>0</v>
          </cell>
        </row>
        <row r="1930">
          <cell r="S1930" t="str">
            <v xml:space="preserve"> - </v>
          </cell>
          <cell r="T1930">
            <v>0</v>
          </cell>
        </row>
        <row r="1931">
          <cell r="S1931" t="str">
            <v xml:space="preserve"> - </v>
          </cell>
          <cell r="T1931">
            <v>0</v>
          </cell>
        </row>
        <row r="1932">
          <cell r="S1932" t="str">
            <v xml:space="preserve"> - </v>
          </cell>
          <cell r="T1932">
            <v>0</v>
          </cell>
        </row>
        <row r="1933">
          <cell r="S1933" t="str">
            <v xml:space="preserve"> - </v>
          </cell>
          <cell r="T1933">
            <v>0</v>
          </cell>
        </row>
        <row r="1934">
          <cell r="S1934" t="str">
            <v xml:space="preserve"> - </v>
          </cell>
          <cell r="T1934">
            <v>0</v>
          </cell>
        </row>
        <row r="1935">
          <cell r="S1935" t="str">
            <v xml:space="preserve"> - </v>
          </cell>
          <cell r="T1935">
            <v>0</v>
          </cell>
        </row>
        <row r="1936">
          <cell r="S1936" t="str">
            <v xml:space="preserve"> - </v>
          </cell>
          <cell r="T1936">
            <v>0</v>
          </cell>
        </row>
        <row r="1937">
          <cell r="S1937" t="str">
            <v xml:space="preserve"> - </v>
          </cell>
          <cell r="T1937">
            <v>0</v>
          </cell>
        </row>
        <row r="1938">
          <cell r="S1938" t="str">
            <v xml:space="preserve"> - </v>
          </cell>
          <cell r="T1938">
            <v>0</v>
          </cell>
        </row>
        <row r="1939">
          <cell r="S1939" t="str">
            <v xml:space="preserve"> - </v>
          </cell>
          <cell r="T1939">
            <v>0</v>
          </cell>
        </row>
        <row r="1940">
          <cell r="S1940" t="str">
            <v xml:space="preserve"> - </v>
          </cell>
          <cell r="T1940">
            <v>0</v>
          </cell>
        </row>
        <row r="1941">
          <cell r="S1941" t="str">
            <v xml:space="preserve"> - </v>
          </cell>
          <cell r="T1941">
            <v>0</v>
          </cell>
        </row>
        <row r="1942">
          <cell r="S1942" t="str">
            <v xml:space="preserve"> - </v>
          </cell>
          <cell r="T1942">
            <v>0</v>
          </cell>
        </row>
        <row r="1943">
          <cell r="S1943" t="str">
            <v xml:space="preserve"> - </v>
          </cell>
          <cell r="T1943">
            <v>0</v>
          </cell>
        </row>
        <row r="1944">
          <cell r="S1944" t="str">
            <v xml:space="preserve"> - </v>
          </cell>
          <cell r="T1944">
            <v>0</v>
          </cell>
        </row>
        <row r="1945">
          <cell r="S1945" t="str">
            <v xml:space="preserve"> - </v>
          </cell>
          <cell r="T1945">
            <v>0</v>
          </cell>
        </row>
        <row r="1946">
          <cell r="S1946" t="str">
            <v xml:space="preserve"> - </v>
          </cell>
          <cell r="T1946">
            <v>0</v>
          </cell>
        </row>
        <row r="1947">
          <cell r="S1947" t="str">
            <v xml:space="preserve"> - </v>
          </cell>
          <cell r="T1947">
            <v>0</v>
          </cell>
        </row>
        <row r="1948">
          <cell r="S1948" t="str">
            <v xml:space="preserve"> - </v>
          </cell>
          <cell r="T1948">
            <v>0</v>
          </cell>
        </row>
        <row r="1949">
          <cell r="S1949" t="str">
            <v xml:space="preserve"> - </v>
          </cell>
          <cell r="T1949">
            <v>0</v>
          </cell>
        </row>
        <row r="1950">
          <cell r="S1950" t="str">
            <v xml:space="preserve"> - </v>
          </cell>
          <cell r="T1950">
            <v>0</v>
          </cell>
        </row>
        <row r="1951">
          <cell r="S1951" t="str">
            <v xml:space="preserve"> - </v>
          </cell>
          <cell r="T1951">
            <v>0</v>
          </cell>
        </row>
        <row r="1952">
          <cell r="S1952" t="str">
            <v xml:space="preserve"> - </v>
          </cell>
          <cell r="T1952">
            <v>0</v>
          </cell>
        </row>
        <row r="1953">
          <cell r="S1953" t="str">
            <v xml:space="preserve"> - </v>
          </cell>
          <cell r="T1953">
            <v>0</v>
          </cell>
        </row>
        <row r="1954">
          <cell r="S1954" t="str">
            <v xml:space="preserve"> - </v>
          </cell>
          <cell r="T1954">
            <v>0</v>
          </cell>
        </row>
        <row r="1955">
          <cell r="S1955" t="str">
            <v xml:space="preserve"> - </v>
          </cell>
          <cell r="T1955">
            <v>0</v>
          </cell>
        </row>
        <row r="1956">
          <cell r="S1956" t="str">
            <v xml:space="preserve"> - </v>
          </cell>
          <cell r="T1956">
            <v>0</v>
          </cell>
        </row>
        <row r="1957">
          <cell r="S1957" t="str">
            <v xml:space="preserve"> - </v>
          </cell>
          <cell r="T1957">
            <v>0</v>
          </cell>
        </row>
        <row r="1958">
          <cell r="S1958" t="str">
            <v xml:space="preserve"> - </v>
          </cell>
          <cell r="T1958">
            <v>0</v>
          </cell>
        </row>
        <row r="1959">
          <cell r="S1959" t="str">
            <v xml:space="preserve"> - </v>
          </cell>
          <cell r="T1959">
            <v>0</v>
          </cell>
        </row>
        <row r="1960">
          <cell r="S1960" t="str">
            <v xml:space="preserve"> - </v>
          </cell>
          <cell r="T1960">
            <v>0</v>
          </cell>
        </row>
        <row r="1961">
          <cell r="S1961" t="str">
            <v xml:space="preserve"> - </v>
          </cell>
          <cell r="T1961">
            <v>0</v>
          </cell>
        </row>
        <row r="1962">
          <cell r="S1962" t="str">
            <v xml:space="preserve"> - </v>
          </cell>
          <cell r="T1962">
            <v>0</v>
          </cell>
        </row>
        <row r="1963">
          <cell r="S1963" t="str">
            <v xml:space="preserve"> - </v>
          </cell>
          <cell r="T1963">
            <v>0</v>
          </cell>
        </row>
        <row r="1964">
          <cell r="S1964" t="str">
            <v xml:space="preserve"> - </v>
          </cell>
          <cell r="T1964">
            <v>0</v>
          </cell>
        </row>
        <row r="1965">
          <cell r="S1965" t="str">
            <v xml:space="preserve"> - </v>
          </cell>
          <cell r="T1965">
            <v>0</v>
          </cell>
        </row>
        <row r="1966">
          <cell r="S1966" t="str">
            <v xml:space="preserve"> - </v>
          </cell>
          <cell r="T1966">
            <v>0</v>
          </cell>
        </row>
        <row r="1967">
          <cell r="S1967" t="str">
            <v xml:space="preserve"> - </v>
          </cell>
          <cell r="T1967">
            <v>0</v>
          </cell>
        </row>
        <row r="1968">
          <cell r="S1968" t="str">
            <v xml:space="preserve"> - </v>
          </cell>
          <cell r="T1968">
            <v>0</v>
          </cell>
        </row>
        <row r="1969">
          <cell r="S1969" t="str">
            <v xml:space="preserve"> - </v>
          </cell>
          <cell r="T1969">
            <v>0</v>
          </cell>
        </row>
        <row r="1970">
          <cell r="S1970" t="str">
            <v xml:space="preserve"> - </v>
          </cell>
          <cell r="T1970">
            <v>0</v>
          </cell>
        </row>
        <row r="1971">
          <cell r="S1971" t="str">
            <v xml:space="preserve"> - </v>
          </cell>
          <cell r="T1971">
            <v>0</v>
          </cell>
        </row>
        <row r="1972">
          <cell r="S1972" t="str">
            <v xml:space="preserve"> - </v>
          </cell>
          <cell r="T1972">
            <v>0</v>
          </cell>
        </row>
        <row r="1973">
          <cell r="S1973" t="str">
            <v xml:space="preserve"> - </v>
          </cell>
          <cell r="T1973">
            <v>0</v>
          </cell>
        </row>
        <row r="1974">
          <cell r="S1974" t="str">
            <v xml:space="preserve"> - </v>
          </cell>
          <cell r="T1974">
            <v>0</v>
          </cell>
        </row>
        <row r="1975">
          <cell r="S1975" t="str">
            <v xml:space="preserve"> - </v>
          </cell>
          <cell r="T1975">
            <v>0</v>
          </cell>
        </row>
        <row r="1976">
          <cell r="S1976" t="str">
            <v xml:space="preserve"> - </v>
          </cell>
          <cell r="T1976">
            <v>0</v>
          </cell>
        </row>
        <row r="1977">
          <cell r="S1977" t="str">
            <v xml:space="preserve"> - </v>
          </cell>
          <cell r="T1977">
            <v>0</v>
          </cell>
        </row>
        <row r="1978">
          <cell r="S1978" t="str">
            <v xml:space="preserve"> - </v>
          </cell>
          <cell r="T1978">
            <v>0</v>
          </cell>
        </row>
        <row r="1979">
          <cell r="S1979" t="str">
            <v xml:space="preserve"> - </v>
          </cell>
          <cell r="T1979">
            <v>0</v>
          </cell>
        </row>
        <row r="1980">
          <cell r="S1980" t="str">
            <v xml:space="preserve"> - </v>
          </cell>
          <cell r="T1980">
            <v>0</v>
          </cell>
        </row>
        <row r="1981">
          <cell r="S1981" t="str">
            <v xml:space="preserve"> - </v>
          </cell>
          <cell r="T1981">
            <v>0</v>
          </cell>
        </row>
        <row r="1982">
          <cell r="S1982" t="str">
            <v xml:space="preserve"> - </v>
          </cell>
          <cell r="T1982">
            <v>0</v>
          </cell>
        </row>
        <row r="1983">
          <cell r="S1983" t="str">
            <v xml:space="preserve"> - </v>
          </cell>
          <cell r="T1983">
            <v>0</v>
          </cell>
        </row>
        <row r="1984">
          <cell r="S1984" t="str">
            <v xml:space="preserve"> - </v>
          </cell>
          <cell r="T1984">
            <v>0</v>
          </cell>
        </row>
        <row r="1985">
          <cell r="S1985" t="str">
            <v xml:space="preserve"> - </v>
          </cell>
          <cell r="T1985">
            <v>0</v>
          </cell>
        </row>
        <row r="1986">
          <cell r="S1986" t="str">
            <v xml:space="preserve"> - </v>
          </cell>
          <cell r="T1986">
            <v>0</v>
          </cell>
        </row>
        <row r="1987">
          <cell r="S1987" t="str">
            <v xml:space="preserve"> - </v>
          </cell>
          <cell r="T1987">
            <v>0</v>
          </cell>
        </row>
        <row r="1988">
          <cell r="S1988" t="str">
            <v xml:space="preserve"> - </v>
          </cell>
          <cell r="T1988">
            <v>0</v>
          </cell>
        </row>
        <row r="1989">
          <cell r="S1989" t="str">
            <v xml:space="preserve"> - </v>
          </cell>
          <cell r="T1989">
            <v>0</v>
          </cell>
        </row>
        <row r="1990">
          <cell r="S1990" t="str">
            <v xml:space="preserve"> - </v>
          </cell>
          <cell r="T1990">
            <v>0</v>
          </cell>
        </row>
        <row r="1991">
          <cell r="S1991" t="str">
            <v xml:space="preserve"> - </v>
          </cell>
          <cell r="T1991">
            <v>0</v>
          </cell>
        </row>
        <row r="1992">
          <cell r="S1992" t="str">
            <v xml:space="preserve"> - </v>
          </cell>
          <cell r="T1992">
            <v>0</v>
          </cell>
        </row>
        <row r="1993">
          <cell r="S1993" t="str">
            <v xml:space="preserve"> - </v>
          </cell>
          <cell r="T1993">
            <v>0</v>
          </cell>
        </row>
        <row r="1994">
          <cell r="S1994" t="str">
            <v xml:space="preserve"> - </v>
          </cell>
          <cell r="T1994">
            <v>0</v>
          </cell>
        </row>
        <row r="1995">
          <cell r="S1995" t="str">
            <v xml:space="preserve"> - </v>
          </cell>
          <cell r="T1995">
            <v>0</v>
          </cell>
        </row>
        <row r="1996">
          <cell r="S1996" t="str">
            <v xml:space="preserve"> - </v>
          </cell>
          <cell r="T1996">
            <v>0</v>
          </cell>
        </row>
        <row r="1997">
          <cell r="S1997" t="str">
            <v xml:space="preserve"> - </v>
          </cell>
          <cell r="T1997">
            <v>0</v>
          </cell>
        </row>
        <row r="1998">
          <cell r="S1998" t="str">
            <v xml:space="preserve"> - </v>
          </cell>
          <cell r="T1998">
            <v>0</v>
          </cell>
        </row>
        <row r="1999">
          <cell r="S1999" t="str">
            <v xml:space="preserve"> - </v>
          </cell>
          <cell r="T1999">
            <v>0</v>
          </cell>
        </row>
        <row r="2000">
          <cell r="S2000" t="str">
            <v xml:space="preserve"> - </v>
          </cell>
          <cell r="T2000">
            <v>0</v>
          </cell>
        </row>
        <row r="2001">
          <cell r="S2001" t="str">
            <v xml:space="preserve"> - </v>
          </cell>
          <cell r="T2001">
            <v>0</v>
          </cell>
        </row>
        <row r="2002">
          <cell r="S2002" t="str">
            <v xml:space="preserve"> - </v>
          </cell>
          <cell r="T2002">
            <v>0</v>
          </cell>
        </row>
        <row r="2003">
          <cell r="S2003" t="str">
            <v xml:space="preserve"> - </v>
          </cell>
          <cell r="T2003">
            <v>0</v>
          </cell>
        </row>
        <row r="2004">
          <cell r="S2004" t="str">
            <v xml:space="preserve"> - </v>
          </cell>
          <cell r="T2004">
            <v>0</v>
          </cell>
        </row>
        <row r="2005">
          <cell r="S2005" t="str">
            <v xml:space="preserve"> - </v>
          </cell>
          <cell r="T2005">
            <v>0</v>
          </cell>
        </row>
        <row r="2006">
          <cell r="S2006" t="str">
            <v xml:space="preserve"> - </v>
          </cell>
          <cell r="T2006">
            <v>0</v>
          </cell>
        </row>
        <row r="2007">
          <cell r="S2007" t="str">
            <v xml:space="preserve"> - </v>
          </cell>
          <cell r="T2007">
            <v>0</v>
          </cell>
        </row>
        <row r="2008">
          <cell r="S2008" t="str">
            <v xml:space="preserve"> - </v>
          </cell>
          <cell r="T2008">
            <v>0</v>
          </cell>
        </row>
        <row r="2009">
          <cell r="S2009" t="str">
            <v xml:space="preserve"> - </v>
          </cell>
          <cell r="T2009">
            <v>0</v>
          </cell>
        </row>
        <row r="2010">
          <cell r="S2010" t="str">
            <v xml:space="preserve"> - </v>
          </cell>
          <cell r="T2010">
            <v>0</v>
          </cell>
        </row>
        <row r="2011">
          <cell r="S2011" t="str">
            <v xml:space="preserve"> - </v>
          </cell>
          <cell r="T2011">
            <v>0</v>
          </cell>
        </row>
        <row r="2012">
          <cell r="S2012" t="str">
            <v xml:space="preserve"> - </v>
          </cell>
          <cell r="T2012">
            <v>0</v>
          </cell>
        </row>
        <row r="2013">
          <cell r="S2013" t="str">
            <v xml:space="preserve"> - </v>
          </cell>
          <cell r="T2013">
            <v>0</v>
          </cell>
        </row>
        <row r="2014">
          <cell r="S2014" t="str">
            <v xml:space="preserve"> - </v>
          </cell>
          <cell r="T2014">
            <v>0</v>
          </cell>
        </row>
        <row r="2015">
          <cell r="S2015" t="str">
            <v xml:space="preserve"> - </v>
          </cell>
          <cell r="T2015">
            <v>0</v>
          </cell>
        </row>
        <row r="2016">
          <cell r="S2016" t="str">
            <v xml:space="preserve"> - </v>
          </cell>
          <cell r="T2016">
            <v>0</v>
          </cell>
        </row>
        <row r="2017">
          <cell r="S2017" t="str">
            <v xml:space="preserve"> - </v>
          </cell>
          <cell r="T2017">
            <v>0</v>
          </cell>
        </row>
        <row r="2018">
          <cell r="S2018" t="str">
            <v xml:space="preserve"> - </v>
          </cell>
          <cell r="T2018">
            <v>0</v>
          </cell>
        </row>
        <row r="2019">
          <cell r="S2019" t="str">
            <v xml:space="preserve"> - </v>
          </cell>
          <cell r="T2019">
            <v>0</v>
          </cell>
        </row>
        <row r="2020">
          <cell r="S2020" t="str">
            <v xml:space="preserve"> - </v>
          </cell>
          <cell r="T2020">
            <v>0</v>
          </cell>
        </row>
        <row r="2021">
          <cell r="S2021" t="str">
            <v xml:space="preserve"> - </v>
          </cell>
          <cell r="T2021">
            <v>0</v>
          </cell>
        </row>
        <row r="2022">
          <cell r="S2022" t="str">
            <v xml:space="preserve"> - </v>
          </cell>
          <cell r="T2022">
            <v>0</v>
          </cell>
        </row>
        <row r="2023">
          <cell r="S2023" t="str">
            <v xml:space="preserve"> - </v>
          </cell>
          <cell r="T2023">
            <v>0</v>
          </cell>
        </row>
        <row r="2024">
          <cell r="S2024" t="str">
            <v xml:space="preserve"> - </v>
          </cell>
          <cell r="T2024">
            <v>0</v>
          </cell>
        </row>
        <row r="2025">
          <cell r="S2025" t="str">
            <v xml:space="preserve"> - </v>
          </cell>
          <cell r="T2025">
            <v>0</v>
          </cell>
        </row>
        <row r="2026">
          <cell r="S2026" t="str">
            <v xml:space="preserve"> - </v>
          </cell>
          <cell r="T2026">
            <v>0</v>
          </cell>
        </row>
        <row r="2027">
          <cell r="S2027" t="str">
            <v xml:space="preserve"> - </v>
          </cell>
          <cell r="T2027">
            <v>0</v>
          </cell>
        </row>
        <row r="2028">
          <cell r="S2028" t="str">
            <v xml:space="preserve"> - </v>
          </cell>
          <cell r="T2028">
            <v>0</v>
          </cell>
        </row>
        <row r="2029">
          <cell r="S2029" t="str">
            <v xml:space="preserve"> - </v>
          </cell>
          <cell r="T2029">
            <v>0</v>
          </cell>
        </row>
        <row r="2030">
          <cell r="S2030" t="str">
            <v xml:space="preserve"> - </v>
          </cell>
          <cell r="T2030">
            <v>0</v>
          </cell>
        </row>
        <row r="2031">
          <cell r="S2031" t="str">
            <v xml:space="preserve"> - </v>
          </cell>
          <cell r="T2031">
            <v>0</v>
          </cell>
        </row>
        <row r="2032">
          <cell r="S2032" t="str">
            <v xml:space="preserve"> - </v>
          </cell>
          <cell r="T2032">
            <v>0</v>
          </cell>
        </row>
        <row r="2033">
          <cell r="S2033" t="str">
            <v xml:space="preserve"> - </v>
          </cell>
          <cell r="T2033">
            <v>0</v>
          </cell>
        </row>
        <row r="2034">
          <cell r="S2034" t="str">
            <v xml:space="preserve"> - </v>
          </cell>
          <cell r="T2034">
            <v>0</v>
          </cell>
        </row>
        <row r="2035">
          <cell r="S2035" t="str">
            <v xml:space="preserve"> - </v>
          </cell>
          <cell r="T2035">
            <v>0</v>
          </cell>
        </row>
        <row r="2036">
          <cell r="S2036" t="str">
            <v xml:space="preserve"> - </v>
          </cell>
          <cell r="T2036">
            <v>0</v>
          </cell>
        </row>
        <row r="2037">
          <cell r="S2037" t="str">
            <v xml:space="preserve"> - </v>
          </cell>
          <cell r="T2037">
            <v>0</v>
          </cell>
        </row>
        <row r="2038">
          <cell r="S2038" t="str">
            <v xml:space="preserve"> - </v>
          </cell>
          <cell r="T2038">
            <v>0</v>
          </cell>
        </row>
        <row r="2039">
          <cell r="S2039" t="str">
            <v xml:space="preserve"> - </v>
          </cell>
          <cell r="T2039">
            <v>0</v>
          </cell>
        </row>
        <row r="2040">
          <cell r="S2040" t="str">
            <v xml:space="preserve"> - </v>
          </cell>
          <cell r="T2040">
            <v>0</v>
          </cell>
        </row>
        <row r="2041">
          <cell r="S2041" t="str">
            <v xml:space="preserve"> - </v>
          </cell>
          <cell r="T2041">
            <v>0</v>
          </cell>
        </row>
        <row r="2042">
          <cell r="S2042" t="str">
            <v xml:space="preserve"> - </v>
          </cell>
          <cell r="T2042">
            <v>0</v>
          </cell>
        </row>
        <row r="2043">
          <cell r="S2043" t="str">
            <v xml:space="preserve"> - </v>
          </cell>
          <cell r="T2043">
            <v>0</v>
          </cell>
        </row>
        <row r="2044">
          <cell r="S2044" t="str">
            <v xml:space="preserve"> - </v>
          </cell>
          <cell r="T2044">
            <v>0</v>
          </cell>
        </row>
        <row r="2045">
          <cell r="S2045" t="str">
            <v xml:space="preserve"> - </v>
          </cell>
          <cell r="T2045">
            <v>0</v>
          </cell>
        </row>
        <row r="2046">
          <cell r="S2046" t="str">
            <v xml:space="preserve"> - </v>
          </cell>
          <cell r="T2046">
            <v>0</v>
          </cell>
        </row>
        <row r="2047">
          <cell r="S2047" t="str">
            <v xml:space="preserve"> - </v>
          </cell>
          <cell r="T2047">
            <v>0</v>
          </cell>
        </row>
        <row r="2048">
          <cell r="S2048" t="str">
            <v xml:space="preserve"> - </v>
          </cell>
          <cell r="T2048">
            <v>0</v>
          </cell>
        </row>
        <row r="2049">
          <cell r="S2049" t="str">
            <v xml:space="preserve"> - </v>
          </cell>
          <cell r="T2049">
            <v>0</v>
          </cell>
        </row>
        <row r="2050">
          <cell r="S2050" t="str">
            <v xml:space="preserve"> - </v>
          </cell>
          <cell r="T2050">
            <v>0</v>
          </cell>
        </row>
        <row r="2051">
          <cell r="S2051" t="str">
            <v xml:space="preserve"> - </v>
          </cell>
          <cell r="T2051">
            <v>0</v>
          </cell>
        </row>
        <row r="2052">
          <cell r="S2052" t="str">
            <v xml:space="preserve"> - </v>
          </cell>
          <cell r="T2052">
            <v>0</v>
          </cell>
        </row>
        <row r="2053">
          <cell r="S2053" t="str">
            <v xml:space="preserve"> - </v>
          </cell>
          <cell r="T2053">
            <v>0</v>
          </cell>
        </row>
        <row r="2054">
          <cell r="S2054" t="str">
            <v xml:space="preserve"> - </v>
          </cell>
          <cell r="T2054">
            <v>0</v>
          </cell>
        </row>
        <row r="2055">
          <cell r="S2055" t="str">
            <v xml:space="preserve"> - </v>
          </cell>
          <cell r="T2055">
            <v>0</v>
          </cell>
        </row>
        <row r="2056">
          <cell r="S2056" t="str">
            <v xml:space="preserve"> - </v>
          </cell>
          <cell r="T2056">
            <v>0</v>
          </cell>
        </row>
        <row r="2057">
          <cell r="S2057" t="str">
            <v xml:space="preserve"> - </v>
          </cell>
          <cell r="T2057">
            <v>0</v>
          </cell>
        </row>
        <row r="2058">
          <cell r="S2058" t="str">
            <v xml:space="preserve"> - </v>
          </cell>
          <cell r="T2058">
            <v>0</v>
          </cell>
        </row>
        <row r="2059">
          <cell r="S2059" t="str">
            <v xml:space="preserve"> - </v>
          </cell>
          <cell r="T2059">
            <v>0</v>
          </cell>
        </row>
        <row r="2060">
          <cell r="S2060" t="str">
            <v xml:space="preserve"> - </v>
          </cell>
          <cell r="T2060">
            <v>0</v>
          </cell>
        </row>
        <row r="2061">
          <cell r="S2061" t="str">
            <v xml:space="preserve"> - </v>
          </cell>
          <cell r="T2061">
            <v>0</v>
          </cell>
        </row>
        <row r="2062">
          <cell r="S2062" t="str">
            <v xml:space="preserve"> - </v>
          </cell>
          <cell r="T2062">
            <v>0</v>
          </cell>
        </row>
        <row r="2063">
          <cell r="S2063" t="str">
            <v xml:space="preserve"> - </v>
          </cell>
          <cell r="T2063">
            <v>0</v>
          </cell>
        </row>
        <row r="2064">
          <cell r="S2064" t="str">
            <v xml:space="preserve"> - </v>
          </cell>
          <cell r="T2064">
            <v>0</v>
          </cell>
        </row>
        <row r="2065">
          <cell r="S2065" t="str">
            <v xml:space="preserve"> - </v>
          </cell>
          <cell r="T2065">
            <v>0</v>
          </cell>
        </row>
        <row r="2066">
          <cell r="S2066" t="str">
            <v xml:space="preserve"> - </v>
          </cell>
          <cell r="T2066">
            <v>0</v>
          </cell>
        </row>
        <row r="2067">
          <cell r="S2067" t="str">
            <v xml:space="preserve"> - </v>
          </cell>
          <cell r="T2067">
            <v>0</v>
          </cell>
        </row>
        <row r="2068">
          <cell r="S2068" t="str">
            <v xml:space="preserve"> - </v>
          </cell>
          <cell r="T2068">
            <v>0</v>
          </cell>
        </row>
        <row r="2069">
          <cell r="S2069" t="str">
            <v xml:space="preserve"> - </v>
          </cell>
          <cell r="T2069">
            <v>0</v>
          </cell>
        </row>
        <row r="2070">
          <cell r="S2070" t="str">
            <v xml:space="preserve"> - </v>
          </cell>
          <cell r="T2070">
            <v>0</v>
          </cell>
        </row>
        <row r="2071">
          <cell r="S2071" t="str">
            <v xml:space="preserve"> - </v>
          </cell>
          <cell r="T2071">
            <v>0</v>
          </cell>
        </row>
        <row r="2072">
          <cell r="S2072" t="str">
            <v xml:space="preserve"> - </v>
          </cell>
          <cell r="T2072">
            <v>0</v>
          </cell>
        </row>
        <row r="2073">
          <cell r="S2073" t="str">
            <v xml:space="preserve"> - </v>
          </cell>
          <cell r="T2073">
            <v>0</v>
          </cell>
        </row>
        <row r="2074">
          <cell r="S2074" t="str">
            <v xml:space="preserve"> - </v>
          </cell>
          <cell r="T2074">
            <v>0</v>
          </cell>
        </row>
        <row r="2075">
          <cell r="S2075" t="str">
            <v xml:space="preserve"> - </v>
          </cell>
          <cell r="T2075">
            <v>0</v>
          </cell>
        </row>
        <row r="2076">
          <cell r="S2076" t="str">
            <v xml:space="preserve"> - </v>
          </cell>
          <cell r="T2076">
            <v>0</v>
          </cell>
        </row>
        <row r="2077">
          <cell r="S2077" t="str">
            <v xml:space="preserve"> - </v>
          </cell>
          <cell r="T2077">
            <v>0</v>
          </cell>
        </row>
        <row r="2078">
          <cell r="S2078" t="str">
            <v xml:space="preserve"> - </v>
          </cell>
          <cell r="T2078">
            <v>0</v>
          </cell>
        </row>
        <row r="2079">
          <cell r="S2079" t="str">
            <v xml:space="preserve"> - </v>
          </cell>
          <cell r="T2079">
            <v>0</v>
          </cell>
        </row>
        <row r="2080">
          <cell r="S2080" t="str">
            <v xml:space="preserve"> - </v>
          </cell>
          <cell r="T2080">
            <v>0</v>
          </cell>
        </row>
        <row r="2081">
          <cell r="S2081" t="str">
            <v xml:space="preserve"> - </v>
          </cell>
          <cell r="T2081">
            <v>0</v>
          </cell>
        </row>
        <row r="2082">
          <cell r="S2082" t="str">
            <v xml:space="preserve"> - </v>
          </cell>
          <cell r="T2082">
            <v>0</v>
          </cell>
        </row>
        <row r="2083">
          <cell r="S2083" t="str">
            <v xml:space="preserve"> - </v>
          </cell>
          <cell r="T2083">
            <v>0</v>
          </cell>
        </row>
        <row r="2084">
          <cell r="S2084" t="str">
            <v xml:space="preserve"> - </v>
          </cell>
          <cell r="T2084">
            <v>0</v>
          </cell>
        </row>
        <row r="2085">
          <cell r="S2085" t="str">
            <v xml:space="preserve"> - </v>
          </cell>
          <cell r="T2085">
            <v>0</v>
          </cell>
        </row>
        <row r="2086">
          <cell r="S2086" t="str">
            <v xml:space="preserve"> - </v>
          </cell>
          <cell r="T2086">
            <v>0</v>
          </cell>
        </row>
        <row r="2087">
          <cell r="S2087" t="str">
            <v xml:space="preserve"> - </v>
          </cell>
          <cell r="T2087">
            <v>0</v>
          </cell>
        </row>
        <row r="2088">
          <cell r="S2088" t="str">
            <v xml:space="preserve"> - </v>
          </cell>
          <cell r="T2088">
            <v>0</v>
          </cell>
        </row>
        <row r="2089">
          <cell r="S2089" t="str">
            <v xml:space="preserve"> - </v>
          </cell>
          <cell r="T2089">
            <v>0</v>
          </cell>
        </row>
        <row r="2090">
          <cell r="S2090" t="str">
            <v xml:space="preserve"> - </v>
          </cell>
          <cell r="T2090">
            <v>0</v>
          </cell>
        </row>
        <row r="2091">
          <cell r="S2091" t="str">
            <v xml:space="preserve"> - </v>
          </cell>
          <cell r="T2091">
            <v>0</v>
          </cell>
        </row>
        <row r="2092">
          <cell r="S2092" t="str">
            <v xml:space="preserve"> - </v>
          </cell>
          <cell r="T2092">
            <v>0</v>
          </cell>
        </row>
        <row r="2093">
          <cell r="S2093" t="str">
            <v xml:space="preserve"> - </v>
          </cell>
          <cell r="T2093">
            <v>0</v>
          </cell>
        </row>
        <row r="2094">
          <cell r="S2094" t="str">
            <v xml:space="preserve"> - </v>
          </cell>
          <cell r="T2094">
            <v>0</v>
          </cell>
        </row>
        <row r="2095">
          <cell r="S2095" t="str">
            <v xml:space="preserve"> - </v>
          </cell>
          <cell r="T2095">
            <v>0</v>
          </cell>
        </row>
        <row r="2096">
          <cell r="S2096" t="str">
            <v xml:space="preserve"> - </v>
          </cell>
          <cell r="T2096">
            <v>0</v>
          </cell>
        </row>
        <row r="2097">
          <cell r="S2097" t="str">
            <v xml:space="preserve"> - </v>
          </cell>
          <cell r="T2097">
            <v>0</v>
          </cell>
        </row>
        <row r="2098">
          <cell r="S2098" t="str">
            <v xml:space="preserve"> - </v>
          </cell>
          <cell r="T2098">
            <v>0</v>
          </cell>
        </row>
        <row r="2099">
          <cell r="S2099" t="str">
            <v xml:space="preserve"> - </v>
          </cell>
          <cell r="T2099">
            <v>0</v>
          </cell>
        </row>
        <row r="2100">
          <cell r="S2100" t="str">
            <v xml:space="preserve"> - </v>
          </cell>
          <cell r="T2100">
            <v>0</v>
          </cell>
        </row>
        <row r="2101">
          <cell r="S2101" t="str">
            <v xml:space="preserve"> - </v>
          </cell>
          <cell r="T2101">
            <v>0</v>
          </cell>
        </row>
        <row r="2102">
          <cell r="S2102" t="str">
            <v xml:space="preserve"> - </v>
          </cell>
          <cell r="T2102">
            <v>0</v>
          </cell>
        </row>
        <row r="2103">
          <cell r="S2103" t="str">
            <v xml:space="preserve"> - </v>
          </cell>
          <cell r="T2103">
            <v>0</v>
          </cell>
        </row>
        <row r="2104">
          <cell r="S2104" t="str">
            <v xml:space="preserve"> - </v>
          </cell>
          <cell r="T2104">
            <v>0</v>
          </cell>
        </row>
        <row r="2105">
          <cell r="S2105" t="str">
            <v xml:space="preserve"> - </v>
          </cell>
          <cell r="T2105">
            <v>0</v>
          </cell>
        </row>
        <row r="2106">
          <cell r="S2106" t="str">
            <v xml:space="preserve"> - </v>
          </cell>
          <cell r="T2106">
            <v>0</v>
          </cell>
        </row>
        <row r="2107">
          <cell r="S2107" t="str">
            <v xml:space="preserve"> - </v>
          </cell>
          <cell r="T2107">
            <v>0</v>
          </cell>
        </row>
        <row r="2108">
          <cell r="S2108" t="str">
            <v xml:space="preserve"> - </v>
          </cell>
          <cell r="T2108">
            <v>0</v>
          </cell>
        </row>
        <row r="2109">
          <cell r="S2109" t="str">
            <v xml:space="preserve"> - </v>
          </cell>
          <cell r="T2109">
            <v>0</v>
          </cell>
        </row>
        <row r="2110">
          <cell r="S2110" t="str">
            <v xml:space="preserve"> - </v>
          </cell>
          <cell r="T2110">
            <v>0</v>
          </cell>
        </row>
        <row r="2111">
          <cell r="S2111" t="str">
            <v xml:space="preserve"> - </v>
          </cell>
          <cell r="T2111">
            <v>0</v>
          </cell>
        </row>
        <row r="2112">
          <cell r="S2112" t="str">
            <v xml:space="preserve"> - </v>
          </cell>
          <cell r="T2112">
            <v>0</v>
          </cell>
        </row>
        <row r="2113">
          <cell r="S2113" t="str">
            <v xml:space="preserve"> - </v>
          </cell>
          <cell r="T2113">
            <v>0</v>
          </cell>
        </row>
        <row r="2114">
          <cell r="S2114" t="str">
            <v xml:space="preserve"> - </v>
          </cell>
          <cell r="T2114">
            <v>0</v>
          </cell>
        </row>
        <row r="2115">
          <cell r="S2115" t="str">
            <v xml:space="preserve"> - </v>
          </cell>
          <cell r="T2115">
            <v>0</v>
          </cell>
        </row>
        <row r="2116">
          <cell r="S2116" t="str">
            <v xml:space="preserve"> - </v>
          </cell>
          <cell r="T2116">
            <v>0</v>
          </cell>
        </row>
        <row r="2117">
          <cell r="S2117" t="str">
            <v xml:space="preserve"> - </v>
          </cell>
          <cell r="T2117">
            <v>0</v>
          </cell>
        </row>
        <row r="2118">
          <cell r="S2118" t="str">
            <v xml:space="preserve"> - </v>
          </cell>
          <cell r="T2118">
            <v>0</v>
          </cell>
        </row>
        <row r="2119">
          <cell r="S2119" t="str">
            <v xml:space="preserve"> - </v>
          </cell>
          <cell r="T2119">
            <v>0</v>
          </cell>
        </row>
        <row r="2120">
          <cell r="S2120" t="str">
            <v xml:space="preserve"> - </v>
          </cell>
          <cell r="T2120">
            <v>0</v>
          </cell>
        </row>
        <row r="2121">
          <cell r="S2121" t="str">
            <v xml:space="preserve"> - </v>
          </cell>
          <cell r="T2121">
            <v>0</v>
          </cell>
        </row>
        <row r="2122">
          <cell r="S2122" t="str">
            <v xml:space="preserve"> - </v>
          </cell>
          <cell r="T2122">
            <v>0</v>
          </cell>
        </row>
        <row r="2123">
          <cell r="S2123" t="str">
            <v xml:space="preserve"> - </v>
          </cell>
          <cell r="T2123">
            <v>0</v>
          </cell>
        </row>
        <row r="2124">
          <cell r="S2124" t="str">
            <v xml:space="preserve"> - </v>
          </cell>
          <cell r="T2124">
            <v>0</v>
          </cell>
        </row>
        <row r="2125">
          <cell r="S2125" t="str">
            <v xml:space="preserve"> - </v>
          </cell>
          <cell r="T2125">
            <v>0</v>
          </cell>
        </row>
        <row r="2126">
          <cell r="S2126" t="str">
            <v xml:space="preserve"> - </v>
          </cell>
          <cell r="T2126">
            <v>0</v>
          </cell>
        </row>
        <row r="2127">
          <cell r="S2127" t="str">
            <v xml:space="preserve"> - </v>
          </cell>
          <cell r="T2127">
            <v>0</v>
          </cell>
        </row>
        <row r="2128">
          <cell r="S2128" t="str">
            <v xml:space="preserve"> - </v>
          </cell>
          <cell r="T2128">
            <v>0</v>
          </cell>
        </row>
        <row r="2129">
          <cell r="S2129" t="str">
            <v xml:space="preserve"> - </v>
          </cell>
          <cell r="T2129">
            <v>0</v>
          </cell>
        </row>
        <row r="2130">
          <cell r="S2130" t="str">
            <v xml:space="preserve"> - </v>
          </cell>
          <cell r="T2130">
            <v>0</v>
          </cell>
        </row>
        <row r="2131">
          <cell r="S2131" t="str">
            <v xml:space="preserve"> - </v>
          </cell>
          <cell r="T2131">
            <v>0</v>
          </cell>
        </row>
        <row r="2132">
          <cell r="S2132" t="str">
            <v xml:space="preserve"> - </v>
          </cell>
          <cell r="T2132">
            <v>0</v>
          </cell>
        </row>
        <row r="2133">
          <cell r="S2133" t="str">
            <v xml:space="preserve"> - </v>
          </cell>
          <cell r="T2133">
            <v>0</v>
          </cell>
        </row>
        <row r="2134">
          <cell r="S2134" t="str">
            <v xml:space="preserve"> - </v>
          </cell>
          <cell r="T2134">
            <v>0</v>
          </cell>
        </row>
        <row r="2135">
          <cell r="S2135" t="str">
            <v xml:space="preserve"> - </v>
          </cell>
          <cell r="T2135">
            <v>0</v>
          </cell>
        </row>
        <row r="2136">
          <cell r="S2136" t="str">
            <v xml:space="preserve"> - </v>
          </cell>
          <cell r="T2136">
            <v>0</v>
          </cell>
        </row>
        <row r="2137">
          <cell r="S2137" t="str">
            <v xml:space="preserve"> - </v>
          </cell>
          <cell r="T2137">
            <v>0</v>
          </cell>
        </row>
        <row r="2138">
          <cell r="S2138" t="str">
            <v xml:space="preserve"> - </v>
          </cell>
          <cell r="T2138">
            <v>0</v>
          </cell>
        </row>
        <row r="2139">
          <cell r="S2139" t="str">
            <v xml:space="preserve"> - </v>
          </cell>
          <cell r="T2139">
            <v>0</v>
          </cell>
        </row>
        <row r="2140">
          <cell r="S2140" t="str">
            <v xml:space="preserve"> - </v>
          </cell>
          <cell r="T2140">
            <v>0</v>
          </cell>
        </row>
        <row r="2141">
          <cell r="S2141" t="str">
            <v xml:space="preserve"> - </v>
          </cell>
          <cell r="T2141">
            <v>0</v>
          </cell>
        </row>
        <row r="2142">
          <cell r="S2142" t="str">
            <v xml:space="preserve"> - </v>
          </cell>
          <cell r="T2142">
            <v>0</v>
          </cell>
        </row>
        <row r="2143">
          <cell r="S2143" t="str">
            <v xml:space="preserve"> - </v>
          </cell>
          <cell r="T2143">
            <v>0</v>
          </cell>
        </row>
        <row r="2144">
          <cell r="S2144" t="str">
            <v xml:space="preserve"> - </v>
          </cell>
          <cell r="T2144">
            <v>0</v>
          </cell>
        </row>
        <row r="2145">
          <cell r="S2145" t="str">
            <v xml:space="preserve"> - </v>
          </cell>
          <cell r="T2145">
            <v>0</v>
          </cell>
        </row>
        <row r="2146">
          <cell r="S2146" t="str">
            <v xml:space="preserve"> - </v>
          </cell>
          <cell r="T2146">
            <v>0</v>
          </cell>
        </row>
        <row r="2147">
          <cell r="S2147" t="str">
            <v xml:space="preserve"> - </v>
          </cell>
          <cell r="T2147">
            <v>0</v>
          </cell>
        </row>
        <row r="2148">
          <cell r="S2148" t="str">
            <v xml:space="preserve"> - </v>
          </cell>
          <cell r="T2148">
            <v>0</v>
          </cell>
        </row>
        <row r="2149">
          <cell r="S2149" t="str">
            <v xml:space="preserve"> - </v>
          </cell>
          <cell r="T2149">
            <v>0</v>
          </cell>
        </row>
        <row r="2150">
          <cell r="S2150" t="str">
            <v xml:space="preserve"> - </v>
          </cell>
          <cell r="T2150">
            <v>0</v>
          </cell>
        </row>
        <row r="2151">
          <cell r="S2151" t="str">
            <v xml:space="preserve"> - </v>
          </cell>
          <cell r="T2151">
            <v>0</v>
          </cell>
        </row>
        <row r="2152">
          <cell r="S2152" t="str">
            <v xml:space="preserve"> - </v>
          </cell>
          <cell r="T2152">
            <v>0</v>
          </cell>
        </row>
        <row r="2153">
          <cell r="S2153" t="str">
            <v xml:space="preserve"> - </v>
          </cell>
          <cell r="T2153">
            <v>0</v>
          </cell>
        </row>
        <row r="2154">
          <cell r="S2154" t="str">
            <v xml:space="preserve"> - </v>
          </cell>
          <cell r="T2154">
            <v>0</v>
          </cell>
        </row>
        <row r="2155">
          <cell r="S2155" t="str">
            <v xml:space="preserve"> - </v>
          </cell>
          <cell r="T2155">
            <v>0</v>
          </cell>
        </row>
        <row r="2156">
          <cell r="S2156" t="str">
            <v xml:space="preserve"> - </v>
          </cell>
          <cell r="T2156">
            <v>0</v>
          </cell>
        </row>
        <row r="2157">
          <cell r="S2157" t="str">
            <v xml:space="preserve"> - </v>
          </cell>
          <cell r="T2157">
            <v>0</v>
          </cell>
        </row>
        <row r="2158">
          <cell r="S2158" t="str">
            <v xml:space="preserve"> - </v>
          </cell>
          <cell r="T2158">
            <v>0</v>
          </cell>
        </row>
        <row r="2159">
          <cell r="S2159" t="str">
            <v xml:space="preserve"> - </v>
          </cell>
          <cell r="T2159">
            <v>0</v>
          </cell>
        </row>
        <row r="2160">
          <cell r="S2160" t="str">
            <v xml:space="preserve"> - </v>
          </cell>
          <cell r="T2160">
            <v>0</v>
          </cell>
        </row>
        <row r="2161">
          <cell r="S2161" t="str">
            <v xml:space="preserve"> - </v>
          </cell>
          <cell r="T2161">
            <v>0</v>
          </cell>
        </row>
        <row r="2162">
          <cell r="S2162" t="str">
            <v xml:space="preserve"> - </v>
          </cell>
          <cell r="T2162">
            <v>0</v>
          </cell>
        </row>
        <row r="2163">
          <cell r="S2163" t="str">
            <v xml:space="preserve"> - </v>
          </cell>
          <cell r="T2163">
            <v>0</v>
          </cell>
        </row>
        <row r="2164">
          <cell r="S2164" t="str">
            <v xml:space="preserve"> - </v>
          </cell>
          <cell r="T2164">
            <v>0</v>
          </cell>
        </row>
        <row r="2165">
          <cell r="S2165" t="str">
            <v xml:space="preserve"> - </v>
          </cell>
          <cell r="T2165">
            <v>0</v>
          </cell>
        </row>
        <row r="2166">
          <cell r="S2166" t="str">
            <v xml:space="preserve"> - </v>
          </cell>
          <cell r="T2166">
            <v>0</v>
          </cell>
        </row>
        <row r="2167">
          <cell r="S2167" t="str">
            <v xml:space="preserve"> - </v>
          </cell>
          <cell r="T2167">
            <v>0</v>
          </cell>
        </row>
        <row r="2168">
          <cell r="S2168" t="str">
            <v xml:space="preserve"> - </v>
          </cell>
          <cell r="T2168">
            <v>0</v>
          </cell>
        </row>
        <row r="2169">
          <cell r="S2169" t="str">
            <v xml:space="preserve"> - </v>
          </cell>
          <cell r="T2169">
            <v>0</v>
          </cell>
        </row>
        <row r="2170">
          <cell r="S2170" t="str">
            <v xml:space="preserve"> - </v>
          </cell>
          <cell r="T2170">
            <v>0</v>
          </cell>
        </row>
        <row r="2171">
          <cell r="S2171" t="str">
            <v xml:space="preserve"> - </v>
          </cell>
          <cell r="T2171">
            <v>0</v>
          </cell>
        </row>
        <row r="2172">
          <cell r="S2172" t="str">
            <v xml:space="preserve"> - </v>
          </cell>
          <cell r="T2172">
            <v>0</v>
          </cell>
        </row>
        <row r="2173">
          <cell r="S2173" t="str">
            <v xml:space="preserve"> - </v>
          </cell>
          <cell r="T2173">
            <v>0</v>
          </cell>
        </row>
        <row r="2174">
          <cell r="S2174" t="str">
            <v xml:space="preserve"> - </v>
          </cell>
          <cell r="T2174">
            <v>0</v>
          </cell>
        </row>
        <row r="2175">
          <cell r="S2175" t="str">
            <v xml:space="preserve"> - </v>
          </cell>
          <cell r="T2175">
            <v>0</v>
          </cell>
        </row>
        <row r="2176">
          <cell r="S2176" t="str">
            <v xml:space="preserve"> - </v>
          </cell>
          <cell r="T2176">
            <v>0</v>
          </cell>
        </row>
        <row r="2177">
          <cell r="S2177" t="str">
            <v xml:space="preserve"> - </v>
          </cell>
          <cell r="T2177">
            <v>0</v>
          </cell>
        </row>
        <row r="2178">
          <cell r="S2178" t="str">
            <v xml:space="preserve"> - </v>
          </cell>
          <cell r="T2178">
            <v>0</v>
          </cell>
        </row>
        <row r="2179">
          <cell r="S2179" t="str">
            <v xml:space="preserve"> - </v>
          </cell>
          <cell r="T2179">
            <v>0</v>
          </cell>
        </row>
        <row r="2180">
          <cell r="S2180" t="str">
            <v xml:space="preserve"> - </v>
          </cell>
          <cell r="T2180">
            <v>0</v>
          </cell>
        </row>
        <row r="2181">
          <cell r="S2181" t="str">
            <v xml:space="preserve"> - </v>
          </cell>
          <cell r="T2181">
            <v>0</v>
          </cell>
        </row>
        <row r="2182">
          <cell r="S2182" t="str">
            <v xml:space="preserve"> - </v>
          </cell>
          <cell r="T2182">
            <v>0</v>
          </cell>
        </row>
        <row r="2183">
          <cell r="S2183" t="str">
            <v xml:space="preserve"> - </v>
          </cell>
          <cell r="T2183">
            <v>0</v>
          </cell>
        </row>
        <row r="2184">
          <cell r="S2184" t="str">
            <v xml:space="preserve"> - </v>
          </cell>
          <cell r="T2184">
            <v>0</v>
          </cell>
        </row>
        <row r="2185">
          <cell r="S2185" t="str">
            <v xml:space="preserve"> - </v>
          </cell>
          <cell r="T2185">
            <v>0</v>
          </cell>
        </row>
        <row r="2186">
          <cell r="S2186" t="str">
            <v xml:space="preserve"> - </v>
          </cell>
          <cell r="T2186">
            <v>0</v>
          </cell>
        </row>
        <row r="2187">
          <cell r="S2187" t="str">
            <v xml:space="preserve"> - </v>
          </cell>
          <cell r="T2187">
            <v>0</v>
          </cell>
        </row>
        <row r="2188">
          <cell r="S2188" t="str">
            <v xml:space="preserve"> - </v>
          </cell>
          <cell r="T2188">
            <v>0</v>
          </cell>
        </row>
        <row r="2189">
          <cell r="S2189" t="str">
            <v xml:space="preserve"> - </v>
          </cell>
          <cell r="T2189">
            <v>0</v>
          </cell>
        </row>
        <row r="2190">
          <cell r="S2190" t="str">
            <v xml:space="preserve"> - </v>
          </cell>
          <cell r="T2190">
            <v>0</v>
          </cell>
        </row>
        <row r="2191">
          <cell r="S2191" t="str">
            <v xml:space="preserve"> - </v>
          </cell>
          <cell r="T2191">
            <v>0</v>
          </cell>
        </row>
        <row r="2192">
          <cell r="S2192" t="str">
            <v xml:space="preserve"> - </v>
          </cell>
          <cell r="T2192">
            <v>0</v>
          </cell>
        </row>
        <row r="2193">
          <cell r="S2193" t="str">
            <v xml:space="preserve"> - </v>
          </cell>
          <cell r="T2193">
            <v>0</v>
          </cell>
        </row>
        <row r="2194">
          <cell r="S2194" t="str">
            <v xml:space="preserve"> - </v>
          </cell>
          <cell r="T2194">
            <v>0</v>
          </cell>
        </row>
        <row r="2195">
          <cell r="S2195" t="str">
            <v xml:space="preserve"> - </v>
          </cell>
          <cell r="T2195">
            <v>0</v>
          </cell>
        </row>
        <row r="2196">
          <cell r="S2196" t="str">
            <v xml:space="preserve"> - </v>
          </cell>
          <cell r="T2196">
            <v>0</v>
          </cell>
        </row>
        <row r="2197">
          <cell r="S2197" t="str">
            <v xml:space="preserve"> - </v>
          </cell>
          <cell r="T2197">
            <v>0</v>
          </cell>
        </row>
        <row r="2198">
          <cell r="S2198" t="str">
            <v xml:space="preserve"> - </v>
          </cell>
          <cell r="T2198">
            <v>0</v>
          </cell>
        </row>
        <row r="2199">
          <cell r="S2199" t="str">
            <v xml:space="preserve"> - </v>
          </cell>
          <cell r="T2199">
            <v>0</v>
          </cell>
        </row>
        <row r="2200">
          <cell r="S2200" t="str">
            <v xml:space="preserve"> - </v>
          </cell>
          <cell r="T2200">
            <v>0</v>
          </cell>
        </row>
        <row r="2201">
          <cell r="S2201" t="str">
            <v xml:space="preserve"> - </v>
          </cell>
          <cell r="T2201">
            <v>0</v>
          </cell>
        </row>
        <row r="2202">
          <cell r="S2202" t="str">
            <v xml:space="preserve"> - </v>
          </cell>
          <cell r="T2202">
            <v>0</v>
          </cell>
        </row>
        <row r="2203">
          <cell r="S2203" t="str">
            <v xml:space="preserve"> - </v>
          </cell>
          <cell r="T2203">
            <v>0</v>
          </cell>
        </row>
        <row r="2204">
          <cell r="S2204" t="str">
            <v xml:space="preserve"> - </v>
          </cell>
          <cell r="T2204">
            <v>0</v>
          </cell>
        </row>
        <row r="2205">
          <cell r="S2205" t="str">
            <v xml:space="preserve"> - </v>
          </cell>
          <cell r="T2205">
            <v>0</v>
          </cell>
        </row>
        <row r="2206">
          <cell r="S2206" t="str">
            <v xml:space="preserve"> - </v>
          </cell>
          <cell r="T2206">
            <v>0</v>
          </cell>
        </row>
        <row r="2207">
          <cell r="S2207" t="str">
            <v xml:space="preserve"> - </v>
          </cell>
          <cell r="T2207">
            <v>0</v>
          </cell>
        </row>
        <row r="2208">
          <cell r="S2208" t="str">
            <v xml:space="preserve"> - </v>
          </cell>
          <cell r="T2208">
            <v>0</v>
          </cell>
        </row>
        <row r="2209">
          <cell r="S2209" t="str">
            <v xml:space="preserve"> - </v>
          </cell>
          <cell r="T2209">
            <v>0</v>
          </cell>
        </row>
        <row r="2210">
          <cell r="S2210" t="str">
            <v xml:space="preserve"> - </v>
          </cell>
          <cell r="T2210">
            <v>0</v>
          </cell>
        </row>
        <row r="2211">
          <cell r="S2211" t="str">
            <v xml:space="preserve"> - </v>
          </cell>
          <cell r="T2211">
            <v>0</v>
          </cell>
        </row>
        <row r="2212">
          <cell r="S2212" t="str">
            <v xml:space="preserve"> - </v>
          </cell>
          <cell r="T2212">
            <v>0</v>
          </cell>
        </row>
        <row r="2213">
          <cell r="S2213" t="str">
            <v xml:space="preserve"> - </v>
          </cell>
          <cell r="T2213">
            <v>0</v>
          </cell>
        </row>
        <row r="2214">
          <cell r="S2214" t="str">
            <v xml:space="preserve"> - </v>
          </cell>
          <cell r="T2214">
            <v>0</v>
          </cell>
        </row>
        <row r="2215">
          <cell r="S2215" t="str">
            <v xml:space="preserve"> - </v>
          </cell>
          <cell r="T2215">
            <v>0</v>
          </cell>
        </row>
        <row r="2216">
          <cell r="S2216" t="str">
            <v xml:space="preserve"> - </v>
          </cell>
          <cell r="T2216">
            <v>0</v>
          </cell>
        </row>
        <row r="2217">
          <cell r="S2217" t="str">
            <v xml:space="preserve"> - </v>
          </cell>
          <cell r="T2217">
            <v>0</v>
          </cell>
        </row>
        <row r="2218">
          <cell r="S2218" t="str">
            <v xml:space="preserve"> - </v>
          </cell>
          <cell r="T2218">
            <v>0</v>
          </cell>
        </row>
        <row r="2219">
          <cell r="S2219" t="str">
            <v xml:space="preserve"> - </v>
          </cell>
          <cell r="T2219">
            <v>0</v>
          </cell>
        </row>
        <row r="2220">
          <cell r="S2220" t="str">
            <v xml:space="preserve"> - </v>
          </cell>
          <cell r="T2220">
            <v>0</v>
          </cell>
        </row>
        <row r="2221">
          <cell r="S2221" t="str">
            <v xml:space="preserve"> - </v>
          </cell>
          <cell r="T2221">
            <v>0</v>
          </cell>
        </row>
        <row r="2222">
          <cell r="S2222" t="str">
            <v xml:space="preserve"> - </v>
          </cell>
          <cell r="T2222">
            <v>0</v>
          </cell>
        </row>
        <row r="2223">
          <cell r="S2223" t="str">
            <v xml:space="preserve"> - </v>
          </cell>
          <cell r="T2223">
            <v>0</v>
          </cell>
        </row>
        <row r="2224">
          <cell r="S2224" t="str">
            <v xml:space="preserve"> - </v>
          </cell>
          <cell r="T2224">
            <v>0</v>
          </cell>
        </row>
        <row r="2225">
          <cell r="S2225" t="str">
            <v xml:space="preserve"> - </v>
          </cell>
          <cell r="T2225">
            <v>0</v>
          </cell>
        </row>
        <row r="2226">
          <cell r="S2226" t="str">
            <v xml:space="preserve"> - </v>
          </cell>
          <cell r="T2226">
            <v>0</v>
          </cell>
        </row>
        <row r="2227">
          <cell r="S2227" t="str">
            <v xml:space="preserve"> - </v>
          </cell>
          <cell r="T2227">
            <v>0</v>
          </cell>
        </row>
        <row r="2228">
          <cell r="S2228" t="str">
            <v xml:space="preserve"> - </v>
          </cell>
          <cell r="T2228">
            <v>0</v>
          </cell>
        </row>
        <row r="2229">
          <cell r="S2229" t="str">
            <v xml:space="preserve"> - </v>
          </cell>
          <cell r="T2229">
            <v>0</v>
          </cell>
        </row>
        <row r="2230">
          <cell r="S2230" t="str">
            <v xml:space="preserve"> - </v>
          </cell>
          <cell r="T2230">
            <v>0</v>
          </cell>
        </row>
        <row r="2231">
          <cell r="S2231" t="str">
            <v xml:space="preserve"> - </v>
          </cell>
          <cell r="T2231">
            <v>0</v>
          </cell>
        </row>
        <row r="2232">
          <cell r="S2232" t="str">
            <v xml:space="preserve"> - </v>
          </cell>
          <cell r="T2232">
            <v>0</v>
          </cell>
        </row>
        <row r="2233">
          <cell r="S2233" t="str">
            <v xml:space="preserve"> - </v>
          </cell>
          <cell r="T2233">
            <v>0</v>
          </cell>
        </row>
        <row r="2234">
          <cell r="S2234" t="str">
            <v xml:space="preserve"> - </v>
          </cell>
          <cell r="T2234">
            <v>0</v>
          </cell>
        </row>
        <row r="2235">
          <cell r="S2235" t="str">
            <v xml:space="preserve"> - </v>
          </cell>
          <cell r="T2235">
            <v>0</v>
          </cell>
        </row>
        <row r="2236">
          <cell r="S2236" t="str">
            <v xml:space="preserve"> - </v>
          </cell>
          <cell r="T2236">
            <v>0</v>
          </cell>
        </row>
        <row r="2237">
          <cell r="S2237" t="str">
            <v xml:space="preserve"> - </v>
          </cell>
          <cell r="T2237">
            <v>0</v>
          </cell>
        </row>
        <row r="2238">
          <cell r="S2238" t="str">
            <v xml:space="preserve"> - </v>
          </cell>
          <cell r="T2238">
            <v>0</v>
          </cell>
        </row>
        <row r="2239">
          <cell r="S2239" t="str">
            <v xml:space="preserve"> - </v>
          </cell>
          <cell r="T2239">
            <v>0</v>
          </cell>
        </row>
        <row r="2240">
          <cell r="S2240" t="str">
            <v xml:space="preserve"> - </v>
          </cell>
          <cell r="T2240">
            <v>0</v>
          </cell>
        </row>
        <row r="2241">
          <cell r="S2241" t="str">
            <v xml:space="preserve"> - </v>
          </cell>
          <cell r="T2241">
            <v>0</v>
          </cell>
        </row>
        <row r="2242">
          <cell r="S2242" t="str">
            <v xml:space="preserve"> - </v>
          </cell>
          <cell r="T2242">
            <v>0</v>
          </cell>
        </row>
        <row r="2243">
          <cell r="S2243" t="str">
            <v xml:space="preserve"> - </v>
          </cell>
          <cell r="T2243">
            <v>0</v>
          </cell>
        </row>
        <row r="2244">
          <cell r="S2244" t="str">
            <v xml:space="preserve"> - </v>
          </cell>
          <cell r="T2244">
            <v>0</v>
          </cell>
        </row>
        <row r="2245">
          <cell r="S2245" t="str">
            <v xml:space="preserve"> - </v>
          </cell>
          <cell r="T2245">
            <v>0</v>
          </cell>
        </row>
        <row r="2246">
          <cell r="S2246" t="str">
            <v xml:space="preserve"> - </v>
          </cell>
          <cell r="T2246">
            <v>0</v>
          </cell>
        </row>
        <row r="2247">
          <cell r="S2247" t="str">
            <v xml:space="preserve"> - </v>
          </cell>
          <cell r="T2247">
            <v>0</v>
          </cell>
        </row>
        <row r="2248">
          <cell r="S2248" t="str">
            <v xml:space="preserve"> - </v>
          </cell>
          <cell r="T2248">
            <v>0</v>
          </cell>
        </row>
        <row r="2249">
          <cell r="S2249" t="str">
            <v xml:space="preserve"> - </v>
          </cell>
          <cell r="T2249">
            <v>0</v>
          </cell>
        </row>
        <row r="2250">
          <cell r="S2250" t="str">
            <v xml:space="preserve"> - </v>
          </cell>
          <cell r="T2250">
            <v>0</v>
          </cell>
        </row>
        <row r="2251">
          <cell r="S2251" t="str">
            <v xml:space="preserve"> - </v>
          </cell>
          <cell r="T2251">
            <v>0</v>
          </cell>
        </row>
        <row r="2252">
          <cell r="S2252" t="str">
            <v xml:space="preserve"> - </v>
          </cell>
          <cell r="T2252">
            <v>0</v>
          </cell>
        </row>
        <row r="2253">
          <cell r="S2253" t="str">
            <v xml:space="preserve"> - </v>
          </cell>
          <cell r="T2253">
            <v>0</v>
          </cell>
        </row>
        <row r="2254">
          <cell r="S2254" t="str">
            <v xml:space="preserve"> - </v>
          </cell>
          <cell r="T2254">
            <v>0</v>
          </cell>
        </row>
        <row r="2255">
          <cell r="S2255" t="str">
            <v xml:space="preserve"> - </v>
          </cell>
          <cell r="T2255">
            <v>0</v>
          </cell>
        </row>
        <row r="2256">
          <cell r="S2256" t="str">
            <v xml:space="preserve"> - </v>
          </cell>
          <cell r="T2256">
            <v>0</v>
          </cell>
        </row>
        <row r="2257">
          <cell r="S2257" t="str">
            <v xml:space="preserve"> - </v>
          </cell>
          <cell r="T2257">
            <v>0</v>
          </cell>
        </row>
        <row r="2258">
          <cell r="S2258" t="str">
            <v xml:space="preserve"> - </v>
          </cell>
          <cell r="T2258">
            <v>0</v>
          </cell>
        </row>
        <row r="2259">
          <cell r="S2259" t="str">
            <v xml:space="preserve"> - </v>
          </cell>
          <cell r="T2259">
            <v>0</v>
          </cell>
        </row>
        <row r="2260">
          <cell r="S2260" t="str">
            <v xml:space="preserve"> - </v>
          </cell>
          <cell r="T2260">
            <v>0</v>
          </cell>
        </row>
        <row r="2261">
          <cell r="S2261" t="str">
            <v xml:space="preserve"> - </v>
          </cell>
          <cell r="T2261">
            <v>0</v>
          </cell>
        </row>
        <row r="2262">
          <cell r="S2262" t="str">
            <v xml:space="preserve"> - </v>
          </cell>
          <cell r="T2262">
            <v>0</v>
          </cell>
        </row>
        <row r="2263">
          <cell r="S2263" t="str">
            <v xml:space="preserve"> - </v>
          </cell>
          <cell r="T2263">
            <v>0</v>
          </cell>
        </row>
        <row r="2264">
          <cell r="S2264" t="str">
            <v xml:space="preserve"> - </v>
          </cell>
          <cell r="T2264">
            <v>0</v>
          </cell>
        </row>
        <row r="2265">
          <cell r="S2265" t="str">
            <v xml:space="preserve"> - </v>
          </cell>
          <cell r="T2265">
            <v>0</v>
          </cell>
        </row>
        <row r="2266">
          <cell r="S2266" t="str">
            <v xml:space="preserve"> - </v>
          </cell>
          <cell r="T2266">
            <v>0</v>
          </cell>
        </row>
        <row r="2267">
          <cell r="S2267" t="str">
            <v xml:space="preserve"> - </v>
          </cell>
          <cell r="T2267">
            <v>0</v>
          </cell>
        </row>
        <row r="2268">
          <cell r="S2268" t="str">
            <v xml:space="preserve"> - </v>
          </cell>
          <cell r="T2268">
            <v>0</v>
          </cell>
        </row>
        <row r="2269">
          <cell r="S2269" t="str">
            <v xml:space="preserve"> - </v>
          </cell>
          <cell r="T2269">
            <v>0</v>
          </cell>
        </row>
        <row r="2270">
          <cell r="S2270" t="str">
            <v xml:space="preserve"> - </v>
          </cell>
          <cell r="T2270">
            <v>0</v>
          </cell>
        </row>
        <row r="2271">
          <cell r="S2271" t="str">
            <v xml:space="preserve"> - </v>
          </cell>
          <cell r="T2271">
            <v>0</v>
          </cell>
        </row>
        <row r="2272">
          <cell r="S2272" t="str">
            <v xml:space="preserve"> - </v>
          </cell>
          <cell r="T2272">
            <v>0</v>
          </cell>
        </row>
        <row r="2273">
          <cell r="S2273" t="str">
            <v xml:space="preserve"> - </v>
          </cell>
          <cell r="T2273">
            <v>0</v>
          </cell>
        </row>
        <row r="2274">
          <cell r="S2274" t="str">
            <v xml:space="preserve"> - </v>
          </cell>
          <cell r="T2274">
            <v>0</v>
          </cell>
        </row>
        <row r="2275">
          <cell r="S2275" t="str">
            <v xml:space="preserve"> - </v>
          </cell>
          <cell r="T2275">
            <v>0</v>
          </cell>
        </row>
        <row r="2276">
          <cell r="S2276" t="str">
            <v xml:space="preserve"> - </v>
          </cell>
          <cell r="T2276">
            <v>0</v>
          </cell>
        </row>
        <row r="2277">
          <cell r="S2277" t="str">
            <v xml:space="preserve"> - </v>
          </cell>
          <cell r="T2277">
            <v>0</v>
          </cell>
        </row>
        <row r="2278">
          <cell r="S2278" t="str">
            <v xml:space="preserve"> - </v>
          </cell>
          <cell r="T2278">
            <v>0</v>
          </cell>
        </row>
        <row r="2279">
          <cell r="S2279" t="str">
            <v xml:space="preserve"> - </v>
          </cell>
          <cell r="T2279">
            <v>0</v>
          </cell>
        </row>
        <row r="2280">
          <cell r="S2280" t="str">
            <v xml:space="preserve"> - </v>
          </cell>
          <cell r="T2280">
            <v>0</v>
          </cell>
        </row>
        <row r="2281">
          <cell r="S2281" t="str">
            <v xml:space="preserve"> - </v>
          </cell>
          <cell r="T2281">
            <v>0</v>
          </cell>
        </row>
        <row r="2282">
          <cell r="S2282" t="str">
            <v xml:space="preserve"> - </v>
          </cell>
          <cell r="T2282">
            <v>0</v>
          </cell>
        </row>
        <row r="2283">
          <cell r="S2283" t="str">
            <v xml:space="preserve"> - </v>
          </cell>
          <cell r="T2283">
            <v>0</v>
          </cell>
        </row>
        <row r="2284">
          <cell r="S2284" t="str">
            <v xml:space="preserve"> - </v>
          </cell>
          <cell r="T2284">
            <v>0</v>
          </cell>
        </row>
        <row r="2285">
          <cell r="S2285" t="str">
            <v xml:space="preserve"> - </v>
          </cell>
          <cell r="T2285">
            <v>0</v>
          </cell>
        </row>
        <row r="2286">
          <cell r="S2286" t="str">
            <v xml:space="preserve"> - </v>
          </cell>
          <cell r="T2286">
            <v>0</v>
          </cell>
        </row>
        <row r="2287">
          <cell r="S2287" t="str">
            <v xml:space="preserve"> - </v>
          </cell>
          <cell r="T2287">
            <v>0</v>
          </cell>
        </row>
        <row r="2288">
          <cell r="S2288" t="str">
            <v xml:space="preserve"> - </v>
          </cell>
          <cell r="T2288">
            <v>0</v>
          </cell>
        </row>
        <row r="2289">
          <cell r="S2289" t="str">
            <v xml:space="preserve"> - </v>
          </cell>
          <cell r="T2289">
            <v>0</v>
          </cell>
        </row>
        <row r="2290">
          <cell r="S2290" t="str">
            <v xml:space="preserve"> - </v>
          </cell>
          <cell r="T2290">
            <v>0</v>
          </cell>
        </row>
        <row r="2291">
          <cell r="S2291" t="str">
            <v xml:space="preserve"> - </v>
          </cell>
          <cell r="T2291">
            <v>0</v>
          </cell>
        </row>
        <row r="2292">
          <cell r="S2292" t="str">
            <v xml:space="preserve"> - </v>
          </cell>
          <cell r="T2292">
            <v>0</v>
          </cell>
        </row>
        <row r="2293">
          <cell r="S2293" t="str">
            <v xml:space="preserve"> - </v>
          </cell>
          <cell r="T2293">
            <v>0</v>
          </cell>
        </row>
        <row r="2294">
          <cell r="S2294" t="str">
            <v xml:space="preserve"> - </v>
          </cell>
          <cell r="T2294">
            <v>0</v>
          </cell>
        </row>
        <row r="2295">
          <cell r="S2295" t="str">
            <v xml:space="preserve"> - </v>
          </cell>
          <cell r="T2295">
            <v>0</v>
          </cell>
        </row>
        <row r="2296">
          <cell r="S2296" t="str">
            <v xml:space="preserve"> - </v>
          </cell>
          <cell r="T2296">
            <v>0</v>
          </cell>
        </row>
        <row r="2297">
          <cell r="S2297" t="str">
            <v xml:space="preserve"> - </v>
          </cell>
          <cell r="T2297">
            <v>0</v>
          </cell>
        </row>
        <row r="2298">
          <cell r="S2298" t="str">
            <v xml:space="preserve"> - </v>
          </cell>
          <cell r="T2298">
            <v>0</v>
          </cell>
        </row>
        <row r="2299">
          <cell r="S2299" t="str">
            <v xml:space="preserve"> - </v>
          </cell>
          <cell r="T2299">
            <v>0</v>
          </cell>
        </row>
        <row r="2300">
          <cell r="S2300" t="str">
            <v xml:space="preserve"> - </v>
          </cell>
          <cell r="T2300">
            <v>0</v>
          </cell>
        </row>
        <row r="2301">
          <cell r="S2301" t="str">
            <v xml:space="preserve"> - </v>
          </cell>
          <cell r="T2301">
            <v>0</v>
          </cell>
        </row>
        <row r="2302">
          <cell r="S2302" t="str">
            <v xml:space="preserve"> - </v>
          </cell>
          <cell r="T2302">
            <v>0</v>
          </cell>
        </row>
        <row r="2303">
          <cell r="S2303" t="str">
            <v xml:space="preserve"> - </v>
          </cell>
          <cell r="T2303">
            <v>0</v>
          </cell>
        </row>
        <row r="2304">
          <cell r="S2304" t="str">
            <v xml:space="preserve"> - </v>
          </cell>
          <cell r="T2304">
            <v>0</v>
          </cell>
        </row>
        <row r="2305">
          <cell r="S2305" t="str">
            <v xml:space="preserve"> - </v>
          </cell>
          <cell r="T2305">
            <v>0</v>
          </cell>
        </row>
        <row r="2306">
          <cell r="S2306" t="str">
            <v xml:space="preserve"> - </v>
          </cell>
          <cell r="T2306">
            <v>0</v>
          </cell>
        </row>
        <row r="2307">
          <cell r="S2307" t="str">
            <v xml:space="preserve"> - </v>
          </cell>
          <cell r="T2307">
            <v>0</v>
          </cell>
        </row>
        <row r="2308">
          <cell r="S2308" t="str">
            <v xml:space="preserve"> - </v>
          </cell>
          <cell r="T2308">
            <v>0</v>
          </cell>
        </row>
        <row r="2309">
          <cell r="S2309" t="str">
            <v xml:space="preserve"> - </v>
          </cell>
          <cell r="T2309">
            <v>0</v>
          </cell>
        </row>
        <row r="2310">
          <cell r="S2310" t="str">
            <v xml:space="preserve"> - </v>
          </cell>
          <cell r="T2310">
            <v>0</v>
          </cell>
        </row>
        <row r="2311">
          <cell r="S2311" t="str">
            <v xml:space="preserve"> - </v>
          </cell>
          <cell r="T2311">
            <v>0</v>
          </cell>
        </row>
        <row r="2312">
          <cell r="S2312" t="str">
            <v xml:space="preserve"> - </v>
          </cell>
          <cell r="T2312">
            <v>0</v>
          </cell>
        </row>
        <row r="2313">
          <cell r="S2313" t="str">
            <v xml:space="preserve"> - </v>
          </cell>
          <cell r="T2313">
            <v>0</v>
          </cell>
        </row>
        <row r="2314">
          <cell r="S2314" t="str">
            <v xml:space="preserve"> - </v>
          </cell>
          <cell r="T2314">
            <v>0</v>
          </cell>
        </row>
        <row r="2315">
          <cell r="S2315" t="str">
            <v xml:space="preserve"> - </v>
          </cell>
          <cell r="T2315">
            <v>0</v>
          </cell>
        </row>
        <row r="2316">
          <cell r="S2316" t="str">
            <v xml:space="preserve"> - </v>
          </cell>
          <cell r="T2316">
            <v>0</v>
          </cell>
        </row>
        <row r="2317">
          <cell r="S2317" t="str">
            <v xml:space="preserve"> - </v>
          </cell>
          <cell r="T2317">
            <v>0</v>
          </cell>
        </row>
        <row r="2318">
          <cell r="S2318" t="str">
            <v xml:space="preserve"> - </v>
          </cell>
          <cell r="T2318">
            <v>0</v>
          </cell>
        </row>
        <row r="2319">
          <cell r="S2319" t="str">
            <v xml:space="preserve"> - </v>
          </cell>
          <cell r="T2319">
            <v>0</v>
          </cell>
        </row>
        <row r="2320">
          <cell r="S2320" t="str">
            <v xml:space="preserve"> - </v>
          </cell>
          <cell r="T2320">
            <v>0</v>
          </cell>
        </row>
        <row r="2321">
          <cell r="S2321" t="str">
            <v xml:space="preserve"> - </v>
          </cell>
          <cell r="T2321">
            <v>0</v>
          </cell>
        </row>
        <row r="2322">
          <cell r="S2322" t="str">
            <v xml:space="preserve"> - </v>
          </cell>
          <cell r="T2322">
            <v>0</v>
          </cell>
        </row>
        <row r="2323">
          <cell r="S2323" t="str">
            <v xml:space="preserve"> - </v>
          </cell>
          <cell r="T2323">
            <v>0</v>
          </cell>
        </row>
        <row r="2324">
          <cell r="S2324" t="str">
            <v xml:space="preserve"> - </v>
          </cell>
          <cell r="T2324">
            <v>0</v>
          </cell>
        </row>
        <row r="2325">
          <cell r="S2325" t="str">
            <v xml:space="preserve"> - </v>
          </cell>
          <cell r="T2325">
            <v>0</v>
          </cell>
        </row>
        <row r="2326">
          <cell r="S2326" t="str">
            <v xml:space="preserve"> - </v>
          </cell>
          <cell r="T2326">
            <v>0</v>
          </cell>
        </row>
        <row r="2327">
          <cell r="S2327" t="str">
            <v xml:space="preserve"> - </v>
          </cell>
          <cell r="T2327">
            <v>0</v>
          </cell>
        </row>
        <row r="2328">
          <cell r="S2328" t="str">
            <v xml:space="preserve"> - </v>
          </cell>
          <cell r="T2328">
            <v>0</v>
          </cell>
        </row>
        <row r="2329">
          <cell r="S2329" t="str">
            <v xml:space="preserve"> - </v>
          </cell>
          <cell r="T2329">
            <v>0</v>
          </cell>
        </row>
        <row r="2330">
          <cell r="S2330" t="str">
            <v xml:space="preserve"> - </v>
          </cell>
          <cell r="T2330">
            <v>0</v>
          </cell>
        </row>
        <row r="2331">
          <cell r="S2331" t="str">
            <v xml:space="preserve"> - </v>
          </cell>
          <cell r="T2331">
            <v>0</v>
          </cell>
        </row>
        <row r="2332">
          <cell r="S2332" t="str">
            <v xml:space="preserve"> - </v>
          </cell>
          <cell r="T2332">
            <v>0</v>
          </cell>
        </row>
        <row r="2333">
          <cell r="S2333" t="str">
            <v xml:space="preserve"> - </v>
          </cell>
          <cell r="T2333">
            <v>0</v>
          </cell>
        </row>
        <row r="2334">
          <cell r="S2334" t="str">
            <v xml:space="preserve"> - </v>
          </cell>
          <cell r="T2334">
            <v>0</v>
          </cell>
        </row>
        <row r="2335">
          <cell r="S2335" t="str">
            <v xml:space="preserve"> - </v>
          </cell>
          <cell r="T2335">
            <v>0</v>
          </cell>
        </row>
        <row r="2336">
          <cell r="S2336" t="str">
            <v xml:space="preserve"> - </v>
          </cell>
          <cell r="T2336">
            <v>0</v>
          </cell>
        </row>
        <row r="2337">
          <cell r="S2337" t="str">
            <v xml:space="preserve"> - </v>
          </cell>
          <cell r="T2337">
            <v>0</v>
          </cell>
        </row>
        <row r="2338">
          <cell r="S2338" t="str">
            <v xml:space="preserve"> - </v>
          </cell>
          <cell r="T2338">
            <v>0</v>
          </cell>
        </row>
        <row r="2339">
          <cell r="S2339" t="str">
            <v xml:space="preserve"> - </v>
          </cell>
          <cell r="T2339">
            <v>0</v>
          </cell>
        </row>
        <row r="2340">
          <cell r="S2340" t="str">
            <v xml:space="preserve"> - </v>
          </cell>
          <cell r="T2340">
            <v>0</v>
          </cell>
        </row>
        <row r="2341">
          <cell r="S2341" t="str">
            <v xml:space="preserve"> - </v>
          </cell>
          <cell r="T2341">
            <v>0</v>
          </cell>
        </row>
        <row r="2342">
          <cell r="S2342" t="str">
            <v xml:space="preserve"> - </v>
          </cell>
          <cell r="T2342">
            <v>0</v>
          </cell>
        </row>
        <row r="2343">
          <cell r="S2343" t="str">
            <v xml:space="preserve"> - </v>
          </cell>
          <cell r="T2343">
            <v>0</v>
          </cell>
        </row>
        <row r="2344">
          <cell r="S2344" t="str">
            <v xml:space="preserve"> - </v>
          </cell>
          <cell r="T2344">
            <v>0</v>
          </cell>
        </row>
        <row r="2345">
          <cell r="S2345" t="str">
            <v xml:space="preserve"> - </v>
          </cell>
          <cell r="T2345">
            <v>0</v>
          </cell>
        </row>
        <row r="2346">
          <cell r="S2346" t="str">
            <v xml:space="preserve"> - </v>
          </cell>
          <cell r="T2346">
            <v>0</v>
          </cell>
        </row>
        <row r="2347">
          <cell r="S2347" t="str">
            <v xml:space="preserve"> - </v>
          </cell>
          <cell r="T2347">
            <v>0</v>
          </cell>
        </row>
        <row r="2348">
          <cell r="S2348" t="str">
            <v xml:space="preserve"> - </v>
          </cell>
          <cell r="T2348">
            <v>0</v>
          </cell>
        </row>
        <row r="2349">
          <cell r="S2349" t="str">
            <v xml:space="preserve"> - </v>
          </cell>
          <cell r="T2349">
            <v>0</v>
          </cell>
        </row>
        <row r="2350">
          <cell r="S2350" t="str">
            <v xml:space="preserve"> - </v>
          </cell>
          <cell r="T2350">
            <v>0</v>
          </cell>
        </row>
        <row r="2351">
          <cell r="S2351" t="str">
            <v xml:space="preserve"> - </v>
          </cell>
          <cell r="T2351">
            <v>0</v>
          </cell>
        </row>
        <row r="2352">
          <cell r="S2352" t="str">
            <v xml:space="preserve"> - </v>
          </cell>
          <cell r="T2352">
            <v>0</v>
          </cell>
        </row>
        <row r="2353">
          <cell r="S2353" t="str">
            <v xml:space="preserve"> - </v>
          </cell>
          <cell r="T2353">
            <v>0</v>
          </cell>
        </row>
        <row r="2354">
          <cell r="S2354" t="str">
            <v xml:space="preserve"> - </v>
          </cell>
          <cell r="T2354">
            <v>0</v>
          </cell>
        </row>
        <row r="2355">
          <cell r="S2355" t="str">
            <v xml:space="preserve"> - </v>
          </cell>
          <cell r="T2355">
            <v>0</v>
          </cell>
        </row>
        <row r="2356">
          <cell r="S2356" t="str">
            <v xml:space="preserve"> - </v>
          </cell>
          <cell r="T2356">
            <v>0</v>
          </cell>
        </row>
        <row r="2357">
          <cell r="S2357" t="str">
            <v xml:space="preserve"> - </v>
          </cell>
          <cell r="T2357">
            <v>0</v>
          </cell>
        </row>
        <row r="2358">
          <cell r="S2358" t="str">
            <v xml:space="preserve"> - </v>
          </cell>
          <cell r="T2358">
            <v>0</v>
          </cell>
        </row>
        <row r="2359">
          <cell r="S2359" t="str">
            <v xml:space="preserve"> - </v>
          </cell>
          <cell r="T2359">
            <v>0</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STER"/>
      <sheetName val="SKO"/>
      <sheetName val="Sheet4"/>
      <sheetName val="ALL"/>
      <sheetName val="390DL"/>
      <sheetName val="777-4XJ"/>
      <sheetName val="777-3PR"/>
      <sheetName val="777AGC"/>
      <sheetName val="777FKR"/>
      <sheetName val="785APX"/>
      <sheetName val="Sheet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ow r="1">
          <cell r="A1" t="str">
            <v>Units</v>
          </cell>
          <cell r="B1" t="str">
            <v>Family</v>
          </cell>
          <cell r="C1" t="str">
            <v>Model</v>
          </cell>
        </row>
        <row r="2">
          <cell r="A2" t="str">
            <v>HE4019</v>
          </cell>
          <cell r="B2" t="str">
            <v>Excavator</v>
          </cell>
          <cell r="C2" t="str">
            <v>390-WAP</v>
          </cell>
        </row>
        <row r="3">
          <cell r="A3" t="str">
            <v>HE4020</v>
          </cell>
          <cell r="B3" t="str">
            <v>Excavator</v>
          </cell>
          <cell r="C3" t="str">
            <v>390-WAP</v>
          </cell>
        </row>
        <row r="4">
          <cell r="A4" t="str">
            <v>HE4021</v>
          </cell>
          <cell r="B4" t="str">
            <v>Excavator</v>
          </cell>
          <cell r="C4" t="str">
            <v>390-WAP</v>
          </cell>
        </row>
        <row r="5">
          <cell r="A5" t="str">
            <v>HE4022</v>
          </cell>
          <cell r="B5" t="str">
            <v>Excavator</v>
          </cell>
          <cell r="C5" t="str">
            <v>390-WAP</v>
          </cell>
        </row>
        <row r="6">
          <cell r="A6" t="str">
            <v>HE4023</v>
          </cell>
          <cell r="B6" t="str">
            <v>Excavator</v>
          </cell>
          <cell r="C6" t="str">
            <v>390-WAP</v>
          </cell>
        </row>
        <row r="7">
          <cell r="A7" t="str">
            <v>HE4024</v>
          </cell>
          <cell r="B7" t="str">
            <v>Excavator</v>
          </cell>
          <cell r="C7" t="str">
            <v>390-WAP</v>
          </cell>
        </row>
        <row r="8">
          <cell r="A8" t="str">
            <v>HT2001</v>
          </cell>
          <cell r="B8" t="str">
            <v>Truck</v>
          </cell>
          <cell r="C8" t="str">
            <v>777C-4XJ</v>
          </cell>
        </row>
        <row r="9">
          <cell r="A9" t="str">
            <v>HT2002</v>
          </cell>
          <cell r="B9" t="str">
            <v>Truck</v>
          </cell>
          <cell r="C9" t="str">
            <v>777C-4XJ</v>
          </cell>
        </row>
        <row r="10">
          <cell r="A10" t="str">
            <v>HT2005</v>
          </cell>
          <cell r="B10" t="str">
            <v>Truck</v>
          </cell>
          <cell r="C10" t="str">
            <v>777C-4XJ</v>
          </cell>
        </row>
        <row r="11">
          <cell r="A11" t="str">
            <v>HT2006</v>
          </cell>
          <cell r="B11" t="str">
            <v>Truck</v>
          </cell>
          <cell r="C11" t="str">
            <v>777C-4XJ</v>
          </cell>
        </row>
        <row r="12">
          <cell r="A12" t="str">
            <v>HT2007</v>
          </cell>
          <cell r="B12" t="str">
            <v>Truck</v>
          </cell>
          <cell r="C12" t="str">
            <v>777C-4XJ</v>
          </cell>
        </row>
        <row r="13">
          <cell r="A13" t="str">
            <v>HT2008</v>
          </cell>
          <cell r="B13" t="str">
            <v>Truck</v>
          </cell>
          <cell r="C13" t="str">
            <v>777C-4XJ</v>
          </cell>
        </row>
        <row r="14">
          <cell r="A14" t="str">
            <v>HT2009</v>
          </cell>
          <cell r="B14" t="str">
            <v>Truck</v>
          </cell>
          <cell r="C14" t="str">
            <v>777C-4XJ</v>
          </cell>
        </row>
        <row r="15">
          <cell r="A15" t="str">
            <v>HT2010</v>
          </cell>
          <cell r="B15" t="str">
            <v>Truck</v>
          </cell>
          <cell r="C15" t="str">
            <v>777C-4XJ</v>
          </cell>
        </row>
        <row r="16">
          <cell r="A16" t="str">
            <v>HT2011</v>
          </cell>
          <cell r="B16" t="str">
            <v>Truck</v>
          </cell>
          <cell r="C16" t="str">
            <v>777C-4XJ</v>
          </cell>
        </row>
        <row r="17">
          <cell r="A17" t="str">
            <v>HT2012</v>
          </cell>
          <cell r="B17" t="str">
            <v>Truck</v>
          </cell>
          <cell r="C17" t="str">
            <v>777D-3PR</v>
          </cell>
        </row>
        <row r="18">
          <cell r="A18" t="str">
            <v>HT2013</v>
          </cell>
          <cell r="B18" t="str">
            <v>Truck</v>
          </cell>
          <cell r="C18" t="str">
            <v>777D-3PR</v>
          </cell>
        </row>
        <row r="19">
          <cell r="A19" t="str">
            <v>HT2014</v>
          </cell>
          <cell r="B19" t="str">
            <v>Truck</v>
          </cell>
          <cell r="C19" t="str">
            <v>777D-3PR</v>
          </cell>
        </row>
        <row r="20">
          <cell r="A20" t="str">
            <v>HT2015</v>
          </cell>
          <cell r="B20" t="str">
            <v>Truck</v>
          </cell>
          <cell r="C20" t="str">
            <v>777D-3PR</v>
          </cell>
        </row>
        <row r="21">
          <cell r="A21" t="str">
            <v>HT2016</v>
          </cell>
          <cell r="B21" t="str">
            <v>Truck</v>
          </cell>
          <cell r="C21" t="str">
            <v>777D-3PR</v>
          </cell>
        </row>
        <row r="22">
          <cell r="A22" t="str">
            <v>HT2017</v>
          </cell>
          <cell r="B22" t="str">
            <v>Truck</v>
          </cell>
          <cell r="C22" t="str">
            <v>777D-3PR</v>
          </cell>
        </row>
        <row r="23">
          <cell r="A23" t="str">
            <v>HT2018</v>
          </cell>
          <cell r="B23" t="str">
            <v>Truck</v>
          </cell>
          <cell r="C23" t="str">
            <v>777D-3PR</v>
          </cell>
        </row>
        <row r="24">
          <cell r="A24" t="str">
            <v>HT2019</v>
          </cell>
          <cell r="B24" t="str">
            <v>Truck</v>
          </cell>
          <cell r="C24" t="str">
            <v>777D-3PR</v>
          </cell>
        </row>
        <row r="25">
          <cell r="A25" t="str">
            <v>HT2020</v>
          </cell>
          <cell r="B25" t="str">
            <v>Truck</v>
          </cell>
          <cell r="C25" t="str">
            <v>777D-3PR</v>
          </cell>
        </row>
        <row r="26">
          <cell r="A26" t="str">
            <v>HT2021</v>
          </cell>
          <cell r="B26" t="str">
            <v>Truck</v>
          </cell>
          <cell r="C26" t="str">
            <v>777D-3PR</v>
          </cell>
        </row>
        <row r="27">
          <cell r="A27" t="str">
            <v>HT2022</v>
          </cell>
          <cell r="B27" t="str">
            <v>Truck</v>
          </cell>
          <cell r="C27" t="str">
            <v>777D-3PR</v>
          </cell>
        </row>
        <row r="28">
          <cell r="A28" t="str">
            <v>HT2023</v>
          </cell>
          <cell r="B28" t="str">
            <v>Truck</v>
          </cell>
          <cell r="C28" t="str">
            <v>777D-3PR</v>
          </cell>
        </row>
        <row r="29">
          <cell r="A29" t="str">
            <v>HT2024</v>
          </cell>
          <cell r="B29" t="str">
            <v>Truck</v>
          </cell>
          <cell r="C29" t="str">
            <v>777D-3PR</v>
          </cell>
        </row>
        <row r="30">
          <cell r="A30" t="str">
            <v>HT2025</v>
          </cell>
          <cell r="B30" t="str">
            <v>Truck</v>
          </cell>
          <cell r="C30" t="str">
            <v>777D-3PR</v>
          </cell>
        </row>
        <row r="31">
          <cell r="A31" t="str">
            <v>HT2026</v>
          </cell>
          <cell r="B31" t="str">
            <v>Truck</v>
          </cell>
          <cell r="C31" t="str">
            <v>777D-3PR</v>
          </cell>
        </row>
        <row r="32">
          <cell r="A32" t="str">
            <v>HT2027</v>
          </cell>
          <cell r="B32" t="str">
            <v>Truck</v>
          </cell>
          <cell r="C32" t="str">
            <v>777D-3PR</v>
          </cell>
        </row>
        <row r="33">
          <cell r="A33" t="str">
            <v>HT2028</v>
          </cell>
          <cell r="B33" t="str">
            <v>Truck</v>
          </cell>
          <cell r="C33" t="str">
            <v>777D-3PR</v>
          </cell>
        </row>
        <row r="34">
          <cell r="A34" t="str">
            <v>HT2029</v>
          </cell>
          <cell r="B34" t="str">
            <v>Truck</v>
          </cell>
          <cell r="C34" t="str">
            <v>777D-3PR</v>
          </cell>
        </row>
        <row r="35">
          <cell r="A35" t="str">
            <v>HT2030</v>
          </cell>
          <cell r="B35" t="str">
            <v>Truck</v>
          </cell>
          <cell r="C35" t="str">
            <v>777D-AGC</v>
          </cell>
        </row>
        <row r="36">
          <cell r="A36" t="str">
            <v>HT2031</v>
          </cell>
          <cell r="B36" t="str">
            <v>Truck</v>
          </cell>
          <cell r="C36" t="str">
            <v>777D-AGC</v>
          </cell>
        </row>
        <row r="37">
          <cell r="A37" t="str">
            <v>HT2032</v>
          </cell>
          <cell r="B37" t="str">
            <v>Truck</v>
          </cell>
          <cell r="C37" t="str">
            <v>777D-AGC</v>
          </cell>
        </row>
        <row r="38">
          <cell r="A38" t="str">
            <v>HT2033</v>
          </cell>
          <cell r="B38" t="str">
            <v>Truck</v>
          </cell>
          <cell r="C38" t="str">
            <v>777D-AGC</v>
          </cell>
        </row>
        <row r="39">
          <cell r="A39" t="str">
            <v>HT2034</v>
          </cell>
          <cell r="B39" t="str">
            <v>Truck</v>
          </cell>
          <cell r="C39" t="str">
            <v>777D-AGC</v>
          </cell>
        </row>
        <row r="40">
          <cell r="A40" t="str">
            <v>HT2035</v>
          </cell>
          <cell r="B40" t="str">
            <v>Truck</v>
          </cell>
          <cell r="C40" t="str">
            <v>777D-AGC</v>
          </cell>
        </row>
        <row r="41">
          <cell r="A41" t="str">
            <v>HT2036</v>
          </cell>
          <cell r="B41" t="str">
            <v>Truck</v>
          </cell>
          <cell r="C41" t="str">
            <v>777D-AGC</v>
          </cell>
        </row>
        <row r="42">
          <cell r="A42" t="str">
            <v>HT2037</v>
          </cell>
          <cell r="B42" t="str">
            <v>Truck</v>
          </cell>
          <cell r="C42" t="str">
            <v>777D-AGC</v>
          </cell>
        </row>
        <row r="43">
          <cell r="A43" t="str">
            <v>HT2038</v>
          </cell>
          <cell r="B43" t="str">
            <v>Truck</v>
          </cell>
          <cell r="C43" t="str">
            <v>777D-AGC</v>
          </cell>
        </row>
        <row r="44">
          <cell r="A44" t="str">
            <v>HT2039</v>
          </cell>
          <cell r="B44" t="str">
            <v>Truck</v>
          </cell>
          <cell r="C44" t="str">
            <v>777D-AGC</v>
          </cell>
        </row>
        <row r="45">
          <cell r="A45" t="str">
            <v>HT2040</v>
          </cell>
          <cell r="B45" t="str">
            <v>Truck</v>
          </cell>
          <cell r="C45" t="str">
            <v>777D-AGC</v>
          </cell>
        </row>
        <row r="46">
          <cell r="A46" t="str">
            <v>HT2041</v>
          </cell>
          <cell r="B46" t="str">
            <v>Truck</v>
          </cell>
          <cell r="C46" t="str">
            <v>777D-AGC</v>
          </cell>
        </row>
        <row r="47">
          <cell r="A47" t="str">
            <v>HT2042</v>
          </cell>
          <cell r="B47" t="str">
            <v>Truck</v>
          </cell>
          <cell r="C47" t="str">
            <v>777D-AGC</v>
          </cell>
        </row>
        <row r="48">
          <cell r="A48" t="str">
            <v>HT2043</v>
          </cell>
          <cell r="B48" t="str">
            <v>Truck</v>
          </cell>
          <cell r="C48" t="str">
            <v>777D-AGC</v>
          </cell>
        </row>
        <row r="49">
          <cell r="A49" t="str">
            <v>HT2044</v>
          </cell>
          <cell r="B49" t="str">
            <v>Truck</v>
          </cell>
          <cell r="C49" t="str">
            <v>777D-AGC</v>
          </cell>
        </row>
        <row r="50">
          <cell r="A50" t="str">
            <v>HT2045</v>
          </cell>
          <cell r="B50" t="str">
            <v>Truck</v>
          </cell>
          <cell r="C50" t="str">
            <v>777D-AGC</v>
          </cell>
        </row>
        <row r="51">
          <cell r="A51" t="str">
            <v>HT2046</v>
          </cell>
          <cell r="B51" t="str">
            <v>Truck</v>
          </cell>
          <cell r="C51" t="str">
            <v>777D-AGC</v>
          </cell>
        </row>
        <row r="52">
          <cell r="A52" t="str">
            <v>HT2047</v>
          </cell>
          <cell r="B52" t="str">
            <v>Truck</v>
          </cell>
          <cell r="C52" t="str">
            <v>777D-AGC</v>
          </cell>
        </row>
        <row r="53">
          <cell r="A53" t="str">
            <v>HT2048</v>
          </cell>
          <cell r="B53" t="str">
            <v>Truck</v>
          </cell>
          <cell r="C53" t="str">
            <v>777D-AGC</v>
          </cell>
        </row>
        <row r="54">
          <cell r="A54" t="str">
            <v>HT2049</v>
          </cell>
          <cell r="B54" t="str">
            <v>Truck</v>
          </cell>
          <cell r="C54" t="str">
            <v>777D-AGC</v>
          </cell>
        </row>
        <row r="55">
          <cell r="A55" t="str">
            <v>HT2050</v>
          </cell>
          <cell r="B55" t="str">
            <v>Truck</v>
          </cell>
          <cell r="C55" t="str">
            <v>777D-AGC</v>
          </cell>
        </row>
        <row r="56">
          <cell r="A56" t="str">
            <v>HT2073</v>
          </cell>
          <cell r="B56" t="str">
            <v>Truck</v>
          </cell>
          <cell r="C56" t="str">
            <v>777D-FKR</v>
          </cell>
        </row>
        <row r="57">
          <cell r="A57" t="str">
            <v>HT2074</v>
          </cell>
          <cell r="B57" t="str">
            <v>Truck</v>
          </cell>
          <cell r="C57" t="str">
            <v>777D-FKR</v>
          </cell>
        </row>
        <row r="58">
          <cell r="A58" t="str">
            <v>HT2075</v>
          </cell>
          <cell r="B58" t="str">
            <v>Truck</v>
          </cell>
          <cell r="C58" t="str">
            <v>777D-FKR</v>
          </cell>
        </row>
        <row r="59">
          <cell r="A59" t="str">
            <v>HT2076</v>
          </cell>
          <cell r="B59" t="str">
            <v>Truck</v>
          </cell>
          <cell r="C59" t="str">
            <v>777D-FKR</v>
          </cell>
        </row>
        <row r="60">
          <cell r="A60" t="str">
            <v>HT2077</v>
          </cell>
          <cell r="B60" t="str">
            <v>Truck</v>
          </cell>
          <cell r="C60" t="str">
            <v>777D-FKR</v>
          </cell>
        </row>
        <row r="61">
          <cell r="A61" t="str">
            <v>HT2078</v>
          </cell>
          <cell r="B61" t="str">
            <v>Truck</v>
          </cell>
          <cell r="C61" t="str">
            <v>777D-FKR</v>
          </cell>
        </row>
        <row r="62">
          <cell r="A62" t="str">
            <v>HT2079</v>
          </cell>
          <cell r="B62" t="str">
            <v>Truck</v>
          </cell>
          <cell r="C62" t="str">
            <v>777D-FKR</v>
          </cell>
        </row>
        <row r="63">
          <cell r="A63" t="str">
            <v>HT2080</v>
          </cell>
          <cell r="B63" t="str">
            <v>Truck</v>
          </cell>
          <cell r="C63" t="str">
            <v>777D-FKR</v>
          </cell>
        </row>
        <row r="64">
          <cell r="A64" t="str">
            <v>HT2081</v>
          </cell>
          <cell r="B64" t="str">
            <v>Truck</v>
          </cell>
          <cell r="C64" t="str">
            <v>777D-FKR</v>
          </cell>
        </row>
        <row r="65">
          <cell r="A65" t="str">
            <v>HT2082</v>
          </cell>
          <cell r="B65" t="str">
            <v>Truck</v>
          </cell>
          <cell r="C65" t="str">
            <v>777D-FKR</v>
          </cell>
        </row>
        <row r="66">
          <cell r="A66" t="str">
            <v>HT2083</v>
          </cell>
          <cell r="B66" t="str">
            <v>Truck</v>
          </cell>
          <cell r="C66" t="str">
            <v>777D-FKR</v>
          </cell>
        </row>
        <row r="67">
          <cell r="A67" t="str">
            <v>HT2084</v>
          </cell>
          <cell r="B67" t="str">
            <v>Truck</v>
          </cell>
          <cell r="C67" t="str">
            <v>777D-FKR</v>
          </cell>
        </row>
        <row r="68">
          <cell r="A68" t="str">
            <v>HT2085</v>
          </cell>
          <cell r="B68" t="str">
            <v>Truck</v>
          </cell>
          <cell r="C68" t="str">
            <v>777D-FKR</v>
          </cell>
        </row>
        <row r="69">
          <cell r="A69" t="str">
            <v>HT2086</v>
          </cell>
          <cell r="B69" t="str">
            <v>Truck</v>
          </cell>
          <cell r="C69" t="str">
            <v>777D-FKR</v>
          </cell>
        </row>
        <row r="70">
          <cell r="A70" t="str">
            <v>HT2087</v>
          </cell>
          <cell r="B70" t="str">
            <v>Truck</v>
          </cell>
          <cell r="C70" t="str">
            <v>777D-FKR</v>
          </cell>
        </row>
        <row r="71">
          <cell r="A71" t="str">
            <v>HT2088</v>
          </cell>
          <cell r="B71" t="str">
            <v>Truck</v>
          </cell>
          <cell r="C71" t="str">
            <v>777D-FKR</v>
          </cell>
        </row>
        <row r="72">
          <cell r="A72" t="str">
            <v>HT2089</v>
          </cell>
          <cell r="B72" t="str">
            <v>Truck</v>
          </cell>
          <cell r="C72" t="str">
            <v>777D-FKR</v>
          </cell>
        </row>
        <row r="73">
          <cell r="A73" t="str">
            <v>HT2090</v>
          </cell>
          <cell r="B73" t="str">
            <v>Truck</v>
          </cell>
          <cell r="C73" t="str">
            <v>777D-FKR</v>
          </cell>
        </row>
        <row r="74">
          <cell r="A74" t="str">
            <v>HT2091</v>
          </cell>
          <cell r="B74" t="str">
            <v>Truck</v>
          </cell>
          <cell r="C74" t="str">
            <v>777D-FKR</v>
          </cell>
        </row>
        <row r="75">
          <cell r="A75" t="str">
            <v>HT2092</v>
          </cell>
          <cell r="B75" t="str">
            <v>Truck</v>
          </cell>
          <cell r="C75" t="str">
            <v>777D-FKR</v>
          </cell>
        </row>
        <row r="76">
          <cell r="A76" t="str">
            <v>HT2093</v>
          </cell>
          <cell r="B76" t="str">
            <v>Truck</v>
          </cell>
          <cell r="C76" t="str">
            <v>777D-FKR</v>
          </cell>
        </row>
        <row r="77">
          <cell r="A77" t="str">
            <v>HT4001</v>
          </cell>
          <cell r="B77" t="str">
            <v>Truck</v>
          </cell>
          <cell r="C77" t="str">
            <v>785C-APX</v>
          </cell>
        </row>
        <row r="78">
          <cell r="A78" t="str">
            <v>HT4002</v>
          </cell>
          <cell r="B78" t="str">
            <v>Truck</v>
          </cell>
          <cell r="C78" t="str">
            <v>785C-APX</v>
          </cell>
        </row>
        <row r="79">
          <cell r="A79" t="str">
            <v>HT4003</v>
          </cell>
          <cell r="B79" t="str">
            <v>Truck</v>
          </cell>
          <cell r="C79" t="str">
            <v>785C-APX</v>
          </cell>
        </row>
        <row r="80">
          <cell r="A80" t="str">
            <v>HT4004</v>
          </cell>
          <cell r="B80" t="str">
            <v>Truck</v>
          </cell>
          <cell r="C80" t="str">
            <v>785C-APX</v>
          </cell>
        </row>
      </sheetData>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tabase"/>
      <sheetName val="WTD"/>
      <sheetName val="23 Okt 23 DS"/>
      <sheetName val="23 Okt 23 NS"/>
      <sheetName val="24 Okt 23 DS"/>
      <sheetName val="25 Okt 23 DS"/>
      <sheetName val="25 Okt 23 NS"/>
      <sheetName val="26 Okt 23 DS"/>
      <sheetName val="26 Okt 23 NS "/>
      <sheetName val="27 Okt 23 DS"/>
      <sheetName val="27 Okt 23 NS "/>
      <sheetName val="28 Okt 23 DS"/>
      <sheetName val="28 Okt 23 NS"/>
      <sheetName val="29 Okt 23 DS"/>
      <sheetName val="29 Okt 23 NS"/>
      <sheetName val="02 Nov 23 NS "/>
      <sheetName val="01 Nov 23 NS"/>
      <sheetName val="30 Okt 23 NS"/>
      <sheetName val="30 Okt 23 DS"/>
      <sheetName val="Sheet3"/>
      <sheetName val="XXXX"/>
    </sheetNames>
    <sheetDataSet>
      <sheetData sheetId="0" refreshError="1">
        <row r="17">
          <cell r="B17" t="str">
            <v>CAT 6015</v>
          </cell>
          <cell r="C17" t="str">
            <v>Digger/Coal Mining</v>
          </cell>
          <cell r="D17" t="str">
            <v>FKD00133</v>
          </cell>
          <cell r="E17" t="str">
            <v>B5001</v>
          </cell>
        </row>
        <row r="18">
          <cell r="B18" t="str">
            <v>CAT 6015</v>
          </cell>
          <cell r="C18" t="str">
            <v>Digger/Coal Mining</v>
          </cell>
          <cell r="D18" t="str">
            <v>FKD00137</v>
          </cell>
          <cell r="E18" t="str">
            <v>B5002</v>
          </cell>
        </row>
        <row r="19">
          <cell r="B19" t="str">
            <v>CAT 6015</v>
          </cell>
          <cell r="C19" t="str">
            <v>Digger/Coal Mining</v>
          </cell>
          <cell r="D19" t="str">
            <v>6B900126</v>
          </cell>
          <cell r="E19" t="str">
            <v>B5003</v>
          </cell>
        </row>
        <row r="20">
          <cell r="B20" t="str">
            <v>CAT 320</v>
          </cell>
          <cell r="C20" t="str">
            <v>EXM</v>
          </cell>
          <cell r="D20" t="str">
            <v>DKJ31351</v>
          </cell>
          <cell r="E20" t="str">
            <v>RB2013</v>
          </cell>
        </row>
        <row r="21">
          <cell r="B21" t="str">
            <v>CAT 320</v>
          </cell>
          <cell r="C21" t="str">
            <v>EXM/Hatari/Lignite</v>
          </cell>
          <cell r="D21" t="str">
            <v>DKJ31352</v>
          </cell>
          <cell r="E21" t="str">
            <v>RB2014</v>
          </cell>
        </row>
        <row r="22">
          <cell r="B22" t="str">
            <v>CAT 320</v>
          </cell>
          <cell r="C22" t="str">
            <v>EXM/Hatari</v>
          </cell>
          <cell r="D22" t="str">
            <v>DKJ31364</v>
          </cell>
          <cell r="E22" t="str">
            <v>RB2015</v>
          </cell>
        </row>
        <row r="23">
          <cell r="B23" t="str">
            <v>CAT 320</v>
          </cell>
          <cell r="C23" t="str">
            <v>EXM/Coal Mining</v>
          </cell>
          <cell r="D23" t="str">
            <v>DKJ31342</v>
          </cell>
          <cell r="E23" t="str">
            <v>RB2016</v>
          </cell>
        </row>
        <row r="24">
          <cell r="B24" t="str">
            <v>CAT 320</v>
          </cell>
          <cell r="C24" t="str">
            <v>EXM/Coal Mining</v>
          </cell>
          <cell r="D24" t="str">
            <v>DKJ31375</v>
          </cell>
          <cell r="E24" t="str">
            <v>RB2017</v>
          </cell>
        </row>
        <row r="25">
          <cell r="B25" t="str">
            <v>CAT 320</v>
          </cell>
          <cell r="C25" t="str">
            <v>SEA</v>
          </cell>
          <cell r="D25" t="str">
            <v>DKJ31126</v>
          </cell>
          <cell r="E25" t="str">
            <v>RB2019</v>
          </cell>
        </row>
        <row r="26">
          <cell r="B26" t="str">
            <v>CAT 320</v>
          </cell>
          <cell r="C26" t="str">
            <v>SEA</v>
          </cell>
          <cell r="D26" t="str">
            <v>DKJ40572</v>
          </cell>
          <cell r="E26" t="str">
            <v>RB2020</v>
          </cell>
        </row>
        <row r="27">
          <cell r="B27" t="str">
            <v>CAT 320</v>
          </cell>
          <cell r="C27" t="str">
            <v>SEA</v>
          </cell>
          <cell r="D27" t="str">
            <v>DKJ40787</v>
          </cell>
          <cell r="E27" t="str">
            <v>RB2021</v>
          </cell>
        </row>
        <row r="28">
          <cell r="B28" t="str">
            <v>CAT 320</v>
          </cell>
          <cell r="C28" t="str">
            <v>SEA</v>
          </cell>
          <cell r="D28" t="str">
            <v>DKJ31385</v>
          </cell>
          <cell r="E28" t="str">
            <v>RB2022</v>
          </cell>
        </row>
        <row r="29">
          <cell r="B29" t="str">
            <v>CAT 320 (LA)</v>
          </cell>
          <cell r="C29" t="str">
            <v>SEA</v>
          </cell>
          <cell r="D29" t="str">
            <v>DKJ31368</v>
          </cell>
          <cell r="E29" t="str">
            <v>RB2023</v>
          </cell>
        </row>
        <row r="30">
          <cell r="B30" t="str">
            <v>CAT 320</v>
          </cell>
          <cell r="C30" t="str">
            <v>SEA</v>
          </cell>
          <cell r="D30" t="str">
            <v>DKJ30402</v>
          </cell>
          <cell r="E30" t="str">
            <v>RB2024</v>
          </cell>
        </row>
        <row r="31">
          <cell r="B31" t="str">
            <v>CAT 320</v>
          </cell>
          <cell r="C31" t="str">
            <v>SEA</v>
          </cell>
          <cell r="D31" t="str">
            <v>DKJ31390</v>
          </cell>
          <cell r="E31" t="str">
            <v>RB2025</v>
          </cell>
        </row>
        <row r="32">
          <cell r="B32" t="str">
            <v>CAT 320</v>
          </cell>
          <cell r="C32" t="str">
            <v>SEA</v>
          </cell>
          <cell r="D32" t="str">
            <v>DKJ31379</v>
          </cell>
          <cell r="E32" t="str">
            <v>RB2026</v>
          </cell>
        </row>
        <row r="33">
          <cell r="B33" t="str">
            <v>CAT 320</v>
          </cell>
          <cell r="C33" t="str">
            <v>SEA</v>
          </cell>
          <cell r="D33" t="str">
            <v>DKJ40795</v>
          </cell>
          <cell r="E33" t="str">
            <v>RB2027</v>
          </cell>
        </row>
        <row r="34">
          <cell r="B34" t="str">
            <v>CAT 320</v>
          </cell>
          <cell r="C34" t="str">
            <v>SEA</v>
          </cell>
          <cell r="D34" t="str">
            <v>DKJ40573</v>
          </cell>
          <cell r="E34" t="str">
            <v>RB2028</v>
          </cell>
        </row>
        <row r="35">
          <cell r="B35" t="str">
            <v>CAT 320</v>
          </cell>
          <cell r="C35" t="str">
            <v>SEA</v>
          </cell>
          <cell r="D35" t="str">
            <v>DKJ31365</v>
          </cell>
          <cell r="E35" t="str">
            <v>RB2029</v>
          </cell>
        </row>
        <row r="36">
          <cell r="B36" t="str">
            <v>CAT 320</v>
          </cell>
          <cell r="C36" t="str">
            <v>SEA</v>
          </cell>
          <cell r="D36" t="str">
            <v>DKJ31388</v>
          </cell>
          <cell r="E36" t="str">
            <v>RB2030</v>
          </cell>
        </row>
        <row r="37">
          <cell r="B37" t="str">
            <v>CAT 320</v>
          </cell>
          <cell r="C37" t="str">
            <v>SEA</v>
          </cell>
          <cell r="D37" t="str">
            <v>DKJ30937</v>
          </cell>
          <cell r="E37" t="str">
            <v>RB2031</v>
          </cell>
        </row>
        <row r="38">
          <cell r="B38" t="str">
            <v>CAT 320</v>
          </cell>
          <cell r="C38" t="str">
            <v>SEA</v>
          </cell>
          <cell r="D38" t="str">
            <v>DKJ31389</v>
          </cell>
          <cell r="E38" t="str">
            <v>RB2032</v>
          </cell>
        </row>
        <row r="39">
          <cell r="B39" t="str">
            <v>CAT 320 (RB)</v>
          </cell>
          <cell r="C39" t="str">
            <v>SEA</v>
          </cell>
          <cell r="D39" t="str">
            <v>DKJ31382</v>
          </cell>
          <cell r="E39" t="str">
            <v>RB2033</v>
          </cell>
        </row>
        <row r="40">
          <cell r="B40" t="str">
            <v>CAT 320 (LA)</v>
          </cell>
          <cell r="C40" t="str">
            <v>SEA</v>
          </cell>
          <cell r="D40" t="str">
            <v>DKJ31367</v>
          </cell>
          <cell r="E40" t="str">
            <v>RB2034</v>
          </cell>
        </row>
        <row r="41">
          <cell r="B41" t="str">
            <v>CAT 330</v>
          </cell>
          <cell r="C41" t="str">
            <v>SEA</v>
          </cell>
          <cell r="D41" t="str">
            <v>KEL30086</v>
          </cell>
          <cell r="E41" t="str">
            <v>RB3007</v>
          </cell>
        </row>
        <row r="42">
          <cell r="B42" t="str">
            <v>CAT 330</v>
          </cell>
          <cell r="C42" t="str">
            <v>SEA</v>
          </cell>
          <cell r="D42" t="str">
            <v>KEL30133</v>
          </cell>
          <cell r="E42" t="str">
            <v>RB3009</v>
          </cell>
        </row>
        <row r="43">
          <cell r="B43" t="str">
            <v>CAT 330</v>
          </cell>
          <cell r="C43" t="str">
            <v>SEA</v>
          </cell>
          <cell r="D43" t="str">
            <v>KEL30139</v>
          </cell>
          <cell r="E43" t="str">
            <v>RB3010</v>
          </cell>
        </row>
        <row r="44">
          <cell r="B44" t="str">
            <v>CAT 330</v>
          </cell>
          <cell r="C44" t="str">
            <v>SEA</v>
          </cell>
          <cell r="D44" t="str">
            <v>KEL30146</v>
          </cell>
          <cell r="E44" t="str">
            <v>RB3011</v>
          </cell>
        </row>
        <row r="45">
          <cell r="B45" t="str">
            <v>CAT 330</v>
          </cell>
          <cell r="C45" t="str">
            <v>SEA</v>
          </cell>
          <cell r="D45" t="str">
            <v>KEL30087</v>
          </cell>
          <cell r="E45" t="str">
            <v>RB3012</v>
          </cell>
        </row>
        <row r="46">
          <cell r="B46" t="str">
            <v>CAT 330</v>
          </cell>
          <cell r="C46" t="str">
            <v>SEA</v>
          </cell>
          <cell r="D46" t="str">
            <v>KEL30140</v>
          </cell>
          <cell r="E46" t="str">
            <v>RB3013</v>
          </cell>
        </row>
        <row r="47">
          <cell r="B47" t="str">
            <v>CAT 330</v>
          </cell>
          <cell r="C47" t="str">
            <v>SEA</v>
          </cell>
          <cell r="D47" t="str">
            <v>KEL30090</v>
          </cell>
          <cell r="E47" t="str">
            <v>RB3014</v>
          </cell>
        </row>
        <row r="48">
          <cell r="B48" t="str">
            <v>CAT 330</v>
          </cell>
          <cell r="C48" t="str">
            <v>SEA</v>
          </cell>
          <cell r="D48" t="str">
            <v xml:space="preserve">KEL30134 </v>
          </cell>
          <cell r="E48" t="str">
            <v>RB3015</v>
          </cell>
        </row>
        <row r="49">
          <cell r="B49" t="str">
            <v>CAT 330</v>
          </cell>
          <cell r="C49" t="str">
            <v>SEA</v>
          </cell>
          <cell r="D49" t="str">
            <v>KEL30145</v>
          </cell>
          <cell r="E49" t="str">
            <v>RB3016</v>
          </cell>
        </row>
        <row r="50">
          <cell r="B50" t="str">
            <v>CAT 330</v>
          </cell>
          <cell r="C50" t="str">
            <v>SEA</v>
          </cell>
          <cell r="D50" t="str">
            <v>KEL21159</v>
          </cell>
          <cell r="E50" t="str">
            <v>RB3017</v>
          </cell>
        </row>
        <row r="51">
          <cell r="B51" t="str">
            <v>CAT 330</v>
          </cell>
          <cell r="C51" t="str">
            <v>SEA</v>
          </cell>
          <cell r="D51" t="str">
            <v>KEL21115</v>
          </cell>
          <cell r="E51" t="str">
            <v>RB3018</v>
          </cell>
        </row>
        <row r="52">
          <cell r="B52" t="str">
            <v>CAT 320 DF</v>
          </cell>
          <cell r="C52" t="str">
            <v>SEA</v>
          </cell>
          <cell r="D52" t="str">
            <v>ZBN31635</v>
          </cell>
          <cell r="E52" t="str">
            <v>RBA001</v>
          </cell>
        </row>
        <row r="53">
          <cell r="B53" t="str">
            <v>CAT 320 DF</v>
          </cell>
          <cell r="C53" t="str">
            <v>SEA</v>
          </cell>
          <cell r="D53" t="str">
            <v>ZBN31474</v>
          </cell>
          <cell r="E53" t="str">
            <v>RBA002</v>
          </cell>
        </row>
        <row r="54">
          <cell r="B54" t="str">
            <v>D6R</v>
          </cell>
          <cell r="C54" t="str">
            <v>Dando</v>
          </cell>
          <cell r="D54" t="str">
            <v>TTT00896</v>
          </cell>
          <cell r="E54" t="str">
            <v>RE203</v>
          </cell>
        </row>
        <row r="55">
          <cell r="B55" t="str">
            <v>D6R</v>
          </cell>
          <cell r="C55" t="str">
            <v>Dando</v>
          </cell>
          <cell r="D55" t="str">
            <v>TTT00897</v>
          </cell>
          <cell r="E55" t="str">
            <v>RE204</v>
          </cell>
        </row>
        <row r="56">
          <cell r="B56" t="str">
            <v>CAT 330 GC</v>
          </cell>
          <cell r="C56" t="str">
            <v>SEA</v>
          </cell>
          <cell r="D56" t="str">
            <v>FEK40388</v>
          </cell>
          <cell r="E56" t="str">
            <v>RB3011</v>
          </cell>
        </row>
        <row r="57">
          <cell r="B57" t="str">
            <v>CAT 320</v>
          </cell>
          <cell r="C57" t="str">
            <v>SEA</v>
          </cell>
          <cell r="D57" t="str">
            <v>DKJ60013</v>
          </cell>
          <cell r="E57" t="str">
            <v>RB2018</v>
          </cell>
        </row>
        <row r="58">
          <cell r="B58" t="str">
            <v>CAT 6020</v>
          </cell>
          <cell r="C58" t="str">
            <v>Digger</v>
          </cell>
          <cell r="D58" t="str">
            <v>DNR00165</v>
          </cell>
          <cell r="E58" t="str">
            <v>RS501</v>
          </cell>
        </row>
        <row r="59">
          <cell r="B59" t="str">
            <v>ADT 745</v>
          </cell>
          <cell r="C59" t="str">
            <v>SEA</v>
          </cell>
          <cell r="D59" t="str">
            <v>3F601901</v>
          </cell>
          <cell r="E59" t="str">
            <v>RT3001</v>
          </cell>
        </row>
        <row r="60">
          <cell r="B60" t="str">
            <v>ADT 745</v>
          </cell>
          <cell r="C60" t="str">
            <v>SEA</v>
          </cell>
          <cell r="D60" t="str">
            <v>3F601902</v>
          </cell>
          <cell r="E60" t="str">
            <v>RT3002</v>
          </cell>
        </row>
        <row r="61">
          <cell r="B61" t="str">
            <v>ADT 745</v>
          </cell>
          <cell r="C61" t="str">
            <v>SEA</v>
          </cell>
          <cell r="D61" t="str">
            <v>3F601820</v>
          </cell>
          <cell r="E61" t="str">
            <v>RT3003</v>
          </cell>
        </row>
        <row r="62">
          <cell r="B62" t="str">
            <v>ADT 745</v>
          </cell>
          <cell r="C62" t="str">
            <v>SEA</v>
          </cell>
          <cell r="D62" t="str">
            <v>3F601712</v>
          </cell>
          <cell r="E62" t="str">
            <v>RT3004</v>
          </cell>
        </row>
        <row r="63">
          <cell r="B63" t="str">
            <v>ADT 745</v>
          </cell>
          <cell r="C63" t="str">
            <v>SEA</v>
          </cell>
          <cell r="D63" t="str">
            <v>3F601715</v>
          </cell>
          <cell r="E63" t="str">
            <v>RT3005</v>
          </cell>
        </row>
        <row r="64">
          <cell r="B64" t="str">
            <v>CAT 330 PT AMK</v>
          </cell>
          <cell r="C64" t="str">
            <v>PT AMK</v>
          </cell>
          <cell r="D64" t="str">
            <v>FEK30610</v>
          </cell>
          <cell r="E64" t="str">
            <v>K3PCB271</v>
          </cell>
        </row>
        <row r="65">
          <cell r="B65" t="str">
            <v>CAT 320 PT AMK</v>
          </cell>
          <cell r="C65" t="str">
            <v>PT AMK</v>
          </cell>
          <cell r="D65" t="str">
            <v>ZBN40127</v>
          </cell>
          <cell r="E65" t="str">
            <v>K3PCB272</v>
          </cell>
        </row>
        <row r="66">
          <cell r="B66" t="str">
            <v>CAT 320</v>
          </cell>
          <cell r="C66" t="str">
            <v>SEA</v>
          </cell>
          <cell r="D66" t="str">
            <v>DKJ31386</v>
          </cell>
          <cell r="E66" t="str">
            <v>RB2035</v>
          </cell>
        </row>
        <row r="67">
          <cell r="B67" t="str">
            <v>CAT 330</v>
          </cell>
          <cell r="C67" t="str">
            <v>SEA</v>
          </cell>
          <cell r="D67" t="str">
            <v>FEK40388</v>
          </cell>
          <cell r="E67" t="str">
            <v>RB3019</v>
          </cell>
        </row>
        <row r="68">
          <cell r="B68" t="str">
            <v>ADT 745 PAMA</v>
          </cell>
          <cell r="C68" t="str">
            <v>PAMA</v>
          </cell>
          <cell r="D68" t="str">
            <v>3F600538</v>
          </cell>
          <cell r="E68" t="str">
            <v>DT3010</v>
          </cell>
        </row>
        <row r="69">
          <cell r="B69" t="str">
            <v>ADT 745 PAMA</v>
          </cell>
          <cell r="C69" t="str">
            <v>PAMA</v>
          </cell>
          <cell r="D69" t="str">
            <v>3F605579</v>
          </cell>
          <cell r="E69" t="str">
            <v>DT3011</v>
          </cell>
        </row>
        <row r="70">
          <cell r="B70" t="str">
            <v>ADT 745</v>
          </cell>
          <cell r="C70" t="str">
            <v>SEA</v>
          </cell>
          <cell r="D70" t="str">
            <v>3F605664</v>
          </cell>
          <cell r="E70" t="str">
            <v>RT3011</v>
          </cell>
        </row>
        <row r="71">
          <cell r="B71" t="str">
            <v>ADT 745</v>
          </cell>
          <cell r="C71" t="str">
            <v>SEA</v>
          </cell>
          <cell r="D71" t="str">
            <v>3F605668</v>
          </cell>
          <cell r="E71" t="str">
            <v>RT3012</v>
          </cell>
        </row>
        <row r="72">
          <cell r="B72" t="str">
            <v>ADT 745</v>
          </cell>
          <cell r="C72" t="str">
            <v>SEA</v>
          </cell>
          <cell r="D72" t="str">
            <v>3F605705</v>
          </cell>
          <cell r="E72" t="str">
            <v>RT3013</v>
          </cell>
        </row>
        <row r="73">
          <cell r="B73" t="str">
            <v>ADT 745</v>
          </cell>
          <cell r="C73" t="str">
            <v>SEA</v>
          </cell>
          <cell r="D73" t="str">
            <v>3F605706</v>
          </cell>
          <cell r="E73" t="str">
            <v>RT3014</v>
          </cell>
        </row>
        <row r="74">
          <cell r="B74" t="str">
            <v>CAT 777</v>
          </cell>
          <cell r="C74" t="str">
            <v>HTM</v>
          </cell>
          <cell r="D74" t="str">
            <v>KDP01137</v>
          </cell>
          <cell r="E74" t="str">
            <v>RT401</v>
          </cell>
        </row>
        <row r="75">
          <cell r="B75" t="str">
            <v>CAT 777</v>
          </cell>
          <cell r="C75" t="str">
            <v>HTM</v>
          </cell>
          <cell r="D75" t="str">
            <v>KDP01155</v>
          </cell>
          <cell r="E75" t="str">
            <v>RT402</v>
          </cell>
        </row>
        <row r="76">
          <cell r="B76" t="str">
            <v>CAT 777</v>
          </cell>
          <cell r="C76" t="str">
            <v>HTM</v>
          </cell>
          <cell r="D76" t="str">
            <v>KDP01156</v>
          </cell>
          <cell r="E76" t="str">
            <v>RT403</v>
          </cell>
        </row>
        <row r="77">
          <cell r="B77" t="str">
            <v>CAT 777</v>
          </cell>
          <cell r="C77" t="str">
            <v>HTM</v>
          </cell>
          <cell r="D77" t="str">
            <v>KDP01162</v>
          </cell>
          <cell r="E77" t="str">
            <v>RT404</v>
          </cell>
        </row>
        <row r="78">
          <cell r="B78" t="str">
            <v>CAT 777</v>
          </cell>
          <cell r="C78" t="str">
            <v>HTM</v>
          </cell>
          <cell r="D78" t="str">
            <v>KDP01171</v>
          </cell>
          <cell r="E78" t="str">
            <v>RT405</v>
          </cell>
        </row>
        <row r="79">
          <cell r="B79" t="str">
            <v>CAT 777</v>
          </cell>
          <cell r="C79" t="str">
            <v>HTM</v>
          </cell>
          <cell r="D79" t="str">
            <v>7W802926</v>
          </cell>
          <cell r="E79" t="str">
            <v>RT406</v>
          </cell>
        </row>
        <row r="80">
          <cell r="B80" t="str">
            <v>CAT 777</v>
          </cell>
          <cell r="C80" t="str">
            <v>HTM</v>
          </cell>
          <cell r="D80" t="str">
            <v>7W802928</v>
          </cell>
          <cell r="E80" t="str">
            <v>RT407</v>
          </cell>
        </row>
        <row r="81">
          <cell r="B81" t="str">
            <v>CAT 777</v>
          </cell>
          <cell r="C81" t="str">
            <v>HTM</v>
          </cell>
          <cell r="D81" t="str">
            <v>7W802929</v>
          </cell>
          <cell r="E81" t="str">
            <v>RT408</v>
          </cell>
        </row>
        <row r="82">
          <cell r="B82" t="str">
            <v>CAT 777</v>
          </cell>
          <cell r="C82" t="str">
            <v>HTM</v>
          </cell>
          <cell r="D82" t="str">
            <v>7W802931</v>
          </cell>
          <cell r="E82" t="str">
            <v>RT409</v>
          </cell>
        </row>
        <row r="83">
          <cell r="B83" t="str">
            <v>D7G</v>
          </cell>
          <cell r="C83" t="str">
            <v>Dando</v>
          </cell>
          <cell r="E83" t="str">
            <v>E201</v>
          </cell>
        </row>
        <row r="84">
          <cell r="B84" t="str">
            <v>D7G</v>
          </cell>
          <cell r="C84" t="str">
            <v>Dando</v>
          </cell>
          <cell r="E84" t="str">
            <v>E202</v>
          </cell>
        </row>
        <row r="85">
          <cell r="B85" t="str">
            <v>D7G</v>
          </cell>
          <cell r="C85" t="str">
            <v>Dando</v>
          </cell>
          <cell r="E85" t="str">
            <v>E203</v>
          </cell>
        </row>
        <row r="86">
          <cell r="B86" t="str">
            <v>D7G</v>
          </cell>
          <cell r="C86" t="str">
            <v>Dando</v>
          </cell>
          <cell r="E86" t="str">
            <v>E204</v>
          </cell>
        </row>
        <row r="87">
          <cell r="B87" t="str">
            <v>D7G</v>
          </cell>
          <cell r="C87" t="str">
            <v>Dando</v>
          </cell>
          <cell r="E87" t="str">
            <v>E205</v>
          </cell>
        </row>
        <row r="88">
          <cell r="B88" t="str">
            <v>D7G</v>
          </cell>
          <cell r="C88" t="str">
            <v>Dando</v>
          </cell>
          <cell r="E88" t="str">
            <v>E206</v>
          </cell>
        </row>
        <row r="89">
          <cell r="B89" t="str">
            <v>D7G</v>
          </cell>
          <cell r="C89" t="str">
            <v>Dando</v>
          </cell>
          <cell r="E89" t="str">
            <v>E207</v>
          </cell>
        </row>
        <row r="90">
          <cell r="B90" t="str">
            <v>D7G</v>
          </cell>
          <cell r="C90" t="str">
            <v>Dando</v>
          </cell>
          <cell r="E90" t="str">
            <v>E208</v>
          </cell>
        </row>
        <row r="91">
          <cell r="B91" t="str">
            <v>D7G</v>
          </cell>
          <cell r="C91" t="str">
            <v>Dando</v>
          </cell>
          <cell r="E91" t="str">
            <v>E209</v>
          </cell>
        </row>
        <row r="92">
          <cell r="B92" t="str">
            <v>D7G</v>
          </cell>
          <cell r="C92" t="str">
            <v>Dando</v>
          </cell>
          <cell r="E92" t="str">
            <v>E210</v>
          </cell>
        </row>
        <row r="93">
          <cell r="B93" t="str">
            <v>D7G</v>
          </cell>
          <cell r="C93" t="str">
            <v>Dando</v>
          </cell>
          <cell r="E93" t="str">
            <v>E211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1E36EF0-0649-4E8B-83FD-5105719A4D29}" name="Table_17891012131114153456789101112131415161745678910111213141516234567891011121314345671534567981011121314153456789101112131415162345678910111213141545678910111213141516234567891023456789111213151610171856789101112131415162345678910113456789101112131417" displayName="Table_17891012131114153456789101112131415161745678910111213141516234567891011121314345671534567981011121314153456789101112131415162345678910111213141545678910111213141516234567891023456789111213151610171856789101112131415162345678910113456789101112131417" ref="B5:T33" totalsRowShown="0">
  <autoFilter ref="B5:T33" xr:uid="{03CA7383-6927-4DB0-BF6D-3C7AC1365CAD}"/>
  <tableColumns count="19">
    <tableColumn id="1" xr3:uid="{2B5C9FDD-7BB8-4819-A1EF-DF0272C5118B}" name="Crew"/>
    <tableColumn id="2" xr3:uid="{1B644CD9-31C6-4D47-AA03-80D92C98A61F}" name="Unit"/>
    <tableColumn id="3" xr3:uid="{A2C30609-D8B0-40DD-840E-71CFB0739AAC}" name="Equipment Type" dataDxfId="12">
      <calculatedColumnFormula>IF($C6="","",IFERROR(INDEX([10]Database!$B$17:$E$115,MATCH($C6,[10]Database!$E$17:$E$115,0),2),"Unit TDK ada di database"))</calculatedColumnFormula>
    </tableColumn>
    <tableColumn id="4" xr3:uid="{DA1CD5F7-C6D3-49D9-8C82-80E5DFED13F1}" name="User">
      <calculatedColumnFormula>IF($C6="","",IFERROR(INDEX([10]Database!$B$17:$E$115,MATCH($C6,[10]Database!$E$17:$E$115,0),2),"Unit TDK ada di database"))</calculatedColumnFormula>
    </tableColumn>
    <tableColumn id="5" xr3:uid="{A854A103-6671-4A1C-AF9A-92EBD7F371D6}" name="Location"/>
    <tableColumn id="6" xr3:uid="{53467389-7867-44C6-A06E-177CBFE81968}" name="Technician" dataDxfId="11"/>
    <tableColumn id="7" xr3:uid="{39A9C7B2-92B9-4E83-9E57-B872CEE4B05B}" name="Status">
      <calculatedColumnFormula>IF($C6="","Z",IF($J6&amp;$K6="","WL",IF($K6="","RT","RD30")))</calculatedColumnFormula>
    </tableColumn>
    <tableColumn id="8" xr3:uid="{B4595155-87AE-46F7-BBD4-DCBF780BA94B}" name="Waiting Labour"/>
    <tableColumn id="9" xr3:uid="{DB261159-CEA8-48DD-803B-9D12CBDC659F}" name="Repair Time"/>
    <tableColumn id="10" xr3:uid="{B1C8ED58-D1DB-47ED-9AD7-403C05FDCF6A}" name="RD30"/>
    <tableColumn id="12" xr3:uid="{C58F2D23-B69B-4B84-88CC-E2B2027B3974}" name="HM awal"/>
    <tableColumn id="13" xr3:uid="{13E20EBD-8E3B-465E-BD7E-1815FE556229}" name="HM Akhir"/>
    <tableColumn id="14" xr3:uid="{B382ED12-474A-4535-AE1E-213A145CACEF}" name="ERDM" dataDxfId="10">
      <calculatedColumnFormula>IFERROR(IF($M6="","",IF($L6="","Isi dulu HM awal.",IF($M6&lt;$L6,"HM M10RD&gt;Down ?.",$M6-$L6))),"Pakai KOMA bukan titik.")</calculatedColumnFormula>
    </tableColumn>
    <tableColumn id="15" xr3:uid="{01511A5D-D3A7-42EA-A865-8921FF3D077B}" name="Breakdown Problem" dataDxfId="9" dataCellStyle="Normal 3 2 2"/>
    <tableColumn id="16" xr3:uid="{20202D39-D42C-4921-A49C-AE1CB4AB11C9}" name="Done / Action" dataDxfId="8" dataCellStyle="Normal 3 2 2"/>
    <tableColumn id="17" xr3:uid="{08F05634-68E0-4071-9D26-B6686EFDCB81}" name="Continue / Handover Job" dataDxfId="7"/>
    <tableColumn id="18" xr3:uid="{48155983-608D-4B7F-8F2D-C9461F4953BE}" name="Wait Labour" dataDxfId="6">
      <calculatedColumnFormula>IF(Table_17891012131114153456789101112131415161745678910111213141516234567891011121314345671534567981011121314153456789101112131415162345678910111213141545678910111213141516234567891023456789111213151610171856789101112131415162345678910113456789101112131417[[#This Row],[Waiting Labour]]="","",IF(Table_17891012131114153456789101112131415161745678910111213141516234567891011121314345671534567981011121314153456789101112131415162345678910111213141545678910111213141516234567891023456789111213151610171856789101112131415162345678910113456789101112131417[[#This Row],[Repair Time]]="",(NOW()-Table_17891012131114153456789101112131415161745678910111213141516234567891011121314345671534567981011121314153456789101112131415162345678910111213141545678910111213141516234567891023456789111213151610171856789101112131415162345678910113456789101112131417[[#This Row],[Waiting Labour]])*24,(Table_17891012131114153456789101112131415161745678910111213141516234567891011121314345671534567981011121314153456789101112131415162345678910111213141545678910111213141516234567891023456789111213151610171856789101112131415162345678910113456789101112131417[[#This Row],[Repair Time]]-Table_17891012131114153456789101112131415161745678910111213141516234567891011121314345671534567981011121314153456789101112131415162345678910111213141545678910111213141516234567891023456789111213151610171856789101112131415162345678910113456789101112131417[[#This Row],[Waiting Labour]])*24))</calculatedColumnFormula>
    </tableColumn>
    <tableColumn id="19" xr3:uid="{F7F58238-8261-4281-B2A8-2814874DF4C7}" name="Repair Time2" dataDxfId="5">
      <calculatedColumnFormula>IF(Table_17891012131114153456789101112131415161745678910111213141516234567891011121314345671534567981011121314153456789101112131415162345678910111213141545678910111213141516234567891023456789111213151610171856789101112131415162345678910113456789101112131417[[#This Row],[Wait Labour]]="","",IF(Table_17891012131114153456789101112131415161745678910111213141516234567891011121314345671534567981011121314153456789101112131415162345678910111213141545678910111213141516234567891023456789111213151610171856789101112131415162345678910113456789101112131417[[#This Row],[RD30]]="",(NOW()-Table_17891012131114153456789101112131415161745678910111213141516234567891011121314345671534567981011121314153456789101112131415162345678910111213141545678910111213141516234567891023456789111213151610171856789101112131415162345678910113456789101112131417[[#This Row],[Repair Time]])*24,(Table_17891012131114153456789101112131415161745678910111213141516234567891011121314345671534567981011121314153456789101112131415162345678910111213141545678910111213141516234567891023456789111213151610171856789101112131415162345678910113456789101112131417[[#This Row],[RD30]]-Table_17891012131114153456789101112131415161745678910111213141516234567891011121314345671534567981011121314153456789101112131415162345678910111213141545678910111213141516234567891023456789111213151610171856789101112131415162345678910113456789101112131417[[#This Row],[Repair Time]])*24))</calculatedColumnFormula>
    </tableColumn>
    <tableColumn id="20" xr3:uid="{55F9ACD2-2B4F-43B6-A1C5-4051326031C4}" name="DT TOTAL" dataDxfId="4">
      <calculatedColumnFormula>IF(Table_17891012131114153456789101112131415161745678910111213141516234567891011121314345671534567981011121314153456789101112131415162345678910111213141545678910111213141516234567891023456789111213151610171856789101112131415162345678910113456789101112131417[[#This Row],[Crew]]="","",IF(Table_17891012131114153456789101112131415161745678910111213141516234567891011121314345671534567981011121314153456789101112131415162345678910111213141545678910111213141516234567891023456789111213151610171856789101112131415162345678910113456789101112131417[[#This Row],[RD30]]="","N/Y Ready",IF(Table_17891012131114153456789101112131415161745678910111213141516234567891011121314345671534567981011121314153456789101112131415162345678910111213141545678910111213141516234567891023456789111213151610171856789101112131415162345678910113456789101112131417[[#This Row],[Repair Time2]]="N/Y Ready","N/Y Ready",SUM(Table_17891012131114153456789101112131415161745678910111213141516234567891011121314345671534567981011121314153456789101112131415162345678910111213141545678910111213141516234567891023456789111213151610171856789101112131415162345678910113456789101112131417[[#This Row],[Wait Labour]:[Repair Time2]]))))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3619D-6919-43E6-B4A7-99A64F4AF901}">
  <dimension ref="B1:U35"/>
  <sheetViews>
    <sheetView tabSelected="1" zoomScale="75" zoomScaleNormal="70" workbookViewId="0">
      <pane xSplit="3" ySplit="5" topLeftCell="D6" activePane="bottomRight" state="frozen"/>
      <selection pane="topRight" activeCell="D1" sqref="D1"/>
      <selection pane="bottomLeft" activeCell="A6" sqref="A6"/>
      <selection pane="bottomRight" activeCell="J6" sqref="J6"/>
    </sheetView>
  </sheetViews>
  <sheetFormatPr defaultColWidth="31.28515625" defaultRowHeight="12.75" x14ac:dyDescent="0.2"/>
  <cols>
    <col min="1" max="1" width="2.140625" style="8" customWidth="1"/>
    <col min="2" max="2" width="7.5703125" style="1" customWidth="1"/>
    <col min="3" max="3" width="10.85546875" style="1" bestFit="1" customWidth="1"/>
    <col min="4" max="4" width="23.140625" style="1" customWidth="1"/>
    <col min="5" max="5" width="18.42578125" style="1" bestFit="1" customWidth="1"/>
    <col min="6" max="6" width="30" style="1" bestFit="1" customWidth="1"/>
    <col min="7" max="7" width="20.7109375" style="2" customWidth="1"/>
    <col min="8" max="8" width="13.5703125" style="1" bestFit="1" customWidth="1"/>
    <col min="9" max="9" width="25.28515625" style="3" customWidth="1"/>
    <col min="10" max="10" width="20.42578125" style="3" customWidth="1"/>
    <col min="11" max="11" width="22.85546875" style="3" bestFit="1" customWidth="1"/>
    <col min="12" max="12" width="19.5703125" style="6" bestFit="1" customWidth="1"/>
    <col min="13" max="13" width="17.7109375" style="6" bestFit="1" customWidth="1"/>
    <col min="14" max="14" width="13" style="1" bestFit="1" customWidth="1"/>
    <col min="15" max="15" width="37.140625" style="1" customWidth="1"/>
    <col min="16" max="16" width="60.85546875" style="3" bestFit="1" customWidth="1"/>
    <col min="17" max="17" width="44.28515625" style="3" customWidth="1"/>
    <col min="18" max="18" width="19.42578125" style="7" bestFit="1" customWidth="1"/>
    <col min="19" max="19" width="20.7109375" style="7" bestFit="1" customWidth="1"/>
    <col min="20" max="20" width="17.140625" style="7" bestFit="1" customWidth="1"/>
    <col min="21" max="21" width="63.140625" style="8" customWidth="1"/>
    <col min="22" max="16384" width="31.28515625" style="8"/>
  </cols>
  <sheetData>
    <row r="1" spans="2:21" ht="24.75" customHeight="1" x14ac:dyDescent="0.2">
      <c r="J1" s="3" t="s">
        <v>0</v>
      </c>
      <c r="K1" s="4" t="s">
        <v>1</v>
      </c>
      <c r="L1" s="5"/>
    </row>
    <row r="2" spans="2:21" s="12" customFormat="1" ht="24.75" customHeight="1" thickBot="1" x14ac:dyDescent="0.3">
      <c r="B2" s="9"/>
      <c r="C2" s="9"/>
      <c r="D2" s="9"/>
      <c r="E2" s="9"/>
      <c r="F2" s="10"/>
      <c r="G2" s="11"/>
      <c r="H2" s="10"/>
      <c r="K2" s="13">
        <f ca="1">NOW()</f>
        <v>46305.48587222222</v>
      </c>
      <c r="L2" s="10"/>
      <c r="M2" s="14"/>
      <c r="O2" s="10"/>
      <c r="P2" s="14"/>
      <c r="Q2" s="14"/>
      <c r="R2" s="15">
        <v>8.3333333333333301E-2</v>
      </c>
      <c r="S2" s="16"/>
      <c r="T2" s="16"/>
      <c r="U2" s="8"/>
    </row>
    <row r="3" spans="2:21" s="25" customFormat="1" ht="18.75" customHeight="1" thickBot="1" x14ac:dyDescent="0.3">
      <c r="B3" s="40" t="s">
        <v>2</v>
      </c>
      <c r="C3" s="38" t="s">
        <v>3</v>
      </c>
      <c r="D3" s="42" t="s">
        <v>4</v>
      </c>
      <c r="E3" s="42" t="s">
        <v>5</v>
      </c>
      <c r="F3" s="38" t="s">
        <v>6</v>
      </c>
      <c r="G3" s="42" t="s">
        <v>7</v>
      </c>
      <c r="H3" s="38" t="s">
        <v>8</v>
      </c>
      <c r="I3" s="17" t="s">
        <v>9</v>
      </c>
      <c r="J3" s="18"/>
      <c r="K3" s="18"/>
      <c r="L3" s="17" t="s">
        <v>10</v>
      </c>
      <c r="M3" s="18"/>
      <c r="N3" s="19"/>
      <c r="O3" s="20" t="s">
        <v>11</v>
      </c>
      <c r="P3" s="21"/>
      <c r="Q3" s="22"/>
      <c r="R3" s="23" t="s">
        <v>12</v>
      </c>
      <c r="S3" s="24"/>
      <c r="T3" s="24"/>
    </row>
    <row r="4" spans="2:21" s="25" customFormat="1" ht="18.75" customHeight="1" thickBot="1" x14ac:dyDescent="0.3">
      <c r="B4" s="41"/>
      <c r="C4" s="39"/>
      <c r="D4" s="43"/>
      <c r="E4" s="43"/>
      <c r="F4" s="39"/>
      <c r="G4" s="43"/>
      <c r="H4" s="39"/>
      <c r="I4" s="26" t="s">
        <v>13</v>
      </c>
      <c r="J4" s="26" t="s">
        <v>14</v>
      </c>
      <c r="K4" s="26" t="s">
        <v>15</v>
      </c>
      <c r="L4" s="26" t="s">
        <v>16</v>
      </c>
      <c r="M4" s="26" t="s">
        <v>17</v>
      </c>
      <c r="N4" s="26" t="s">
        <v>18</v>
      </c>
      <c r="O4" s="26" t="s">
        <v>19</v>
      </c>
      <c r="P4" s="26" t="s">
        <v>20</v>
      </c>
      <c r="Q4" s="26" t="s">
        <v>21</v>
      </c>
      <c r="R4" s="27" t="s">
        <v>13</v>
      </c>
      <c r="S4" s="27" t="s">
        <v>22</v>
      </c>
      <c r="T4" s="27" t="s">
        <v>23</v>
      </c>
    </row>
    <row r="5" spans="2:21" s="31" customFormat="1" ht="18" customHeight="1" x14ac:dyDescent="0.25">
      <c r="B5" s="28" t="s">
        <v>2</v>
      </c>
      <c r="C5" s="28" t="s">
        <v>3</v>
      </c>
      <c r="D5" s="28" t="s">
        <v>4</v>
      </c>
      <c r="E5" s="28" t="s">
        <v>24</v>
      </c>
      <c r="F5" s="28" t="s">
        <v>6</v>
      </c>
      <c r="G5" s="29" t="s">
        <v>7</v>
      </c>
      <c r="H5" s="28" t="s">
        <v>8</v>
      </c>
      <c r="I5" s="28" t="s">
        <v>13</v>
      </c>
      <c r="J5" s="28" t="s">
        <v>14</v>
      </c>
      <c r="K5" s="28" t="s">
        <v>15</v>
      </c>
      <c r="L5" s="28" t="s">
        <v>16</v>
      </c>
      <c r="M5" s="28" t="s">
        <v>25</v>
      </c>
      <c r="N5" s="28" t="s">
        <v>18</v>
      </c>
      <c r="O5" s="28" t="s">
        <v>19</v>
      </c>
      <c r="P5" s="28" t="s">
        <v>20</v>
      </c>
      <c r="Q5" s="28" t="s">
        <v>26</v>
      </c>
      <c r="R5" s="30" t="s">
        <v>27</v>
      </c>
      <c r="S5" s="30" t="s">
        <v>28</v>
      </c>
      <c r="T5" s="30" t="s">
        <v>29</v>
      </c>
    </row>
    <row r="6" spans="2:21" ht="36" customHeight="1" x14ac:dyDescent="0.2">
      <c r="B6" s="32" t="s">
        <v>30</v>
      </c>
      <c r="C6" s="32" t="s">
        <v>31</v>
      </c>
      <c r="D6" s="32" t="str">
        <f>IF($C6="","",IFERROR(INDEX([10]Database!$B$17:$E$115,MATCH($C6,[10]Database!$E$17:$E$115,0),2),"Unit TDK ada di database"))</f>
        <v>Unit TDK ada di database</v>
      </c>
      <c r="E6" s="32" t="str">
        <f>IF($C6="","",IFERROR(INDEX([10]Database!$B$17:$E$115,MATCH($C6,[10]Database!$E$17:$E$115,0),2),"Unit TDK ada di database"))</f>
        <v>Unit TDK ada di database</v>
      </c>
      <c r="F6" s="32" t="s">
        <v>32</v>
      </c>
      <c r="G6" s="33"/>
      <c r="H6" s="32" t="str">
        <f t="shared" ref="H6:H30" si="0">IF($C6="","Z",IF($J6&amp;$K6="","WL",IF($K6="","RT","RD30")))</f>
        <v>RT</v>
      </c>
      <c r="I6" s="34">
        <v>46296.113888888889</v>
      </c>
      <c r="J6" s="34">
        <v>46296.147222222222</v>
      </c>
      <c r="K6" s="34"/>
      <c r="L6" s="35">
        <v>32163.3</v>
      </c>
      <c r="M6" s="35"/>
      <c r="N6" s="32" t="str">
        <f t="shared" ref="N6:N30" si="1">IFERROR(IF($M6="","",IF($L6="","Isi dulu HM awal.",IF($M6&lt;$L6,"HM M10RD&gt;Down ?.",$M6-$L6))),"Pakai KOMA bukan titik.")</f>
        <v/>
      </c>
      <c r="O6" s="32" t="s">
        <v>33</v>
      </c>
      <c r="P6" s="34"/>
      <c r="Q6" s="36"/>
      <c r="R6" s="37">
        <f ca="1">IF(Table_17891012131114153456789101112131415161745678910111213141516234567891011121314345671534567981011121314153456789101112131415162345678910111213141545678910111213141516234567891023456789111213151610171856789101112131415162345678910113456789101112131417[[#This Row],[Waiting Labour]]="","",IF(Table_17891012131114153456789101112131415161745678910111213141516234567891011121314345671534567981011121314153456789101112131415162345678910111213141545678910111213141516234567891023456789111213151610171856789101112131415162345678910113456789101112131417[[#This Row],[Repair Time]]="",(NOW()-Table_17891012131114153456789101112131415161745678910111213141516234567891011121314345671534567981011121314153456789101112131415162345678910111213141545678910111213141516234567891023456789111213151610171856789101112131415162345678910113456789101112131417[[#This Row],[Waiting Labour]])*24,(Table_17891012131114153456789101112131415161745678910111213141516234567891011121314345671534567981011121314153456789101112131415162345678910111213141545678910111213141516234567891023456789111213151610171856789101112131415162345678910113456789101112131417[[#This Row],[Repair Time]]-Table_17891012131114153456789101112131415161745678910111213141516234567891011121314345671534567981011121314153456789101112131415162345678910111213141545678910111213141516234567891023456789111213151610171856789101112131415162345678910113456789101112131417[[#This Row],[Waiting Labour]])*24))</f>
        <v>0.79999999998835847</v>
      </c>
      <c r="S6" s="37">
        <f ca="1">IF(Table_17891012131114153456789101112131415161745678910111213141516234567891011121314345671534567981011121314153456789101112131415162345678910111213141545678910111213141516234567891023456789111213151610171856789101112131415162345678910113456789101112131417[[#This Row],[Wait Labour]]="","",IF(Table_17891012131114153456789101112131415161745678910111213141516234567891011121314345671534567981011121314153456789101112131415162345678910111213141545678910111213141516234567891023456789111213151610171856789101112131415162345678910113456789101112131417[[#This Row],[RD30]]="",(NOW()-Table_17891012131114153456789101112131415161745678910111213141516234567891011121314345671534567981011121314153456789101112131415162345678910111213141545678910111213141516234567891023456789111213151610171856789101112131415162345678910113456789101112131417[[#This Row],[Repair Time]])*24,(Table_17891012131114153456789101112131415161745678910111213141516234567891011121314345671534567981011121314153456789101112131415162345678910111213141545678910111213141516234567891023456789111213151610171856789101112131415162345678910113456789101112131417[[#This Row],[RD30]]-Table_17891012131114153456789101112131415161745678910111213141516234567891011121314345671534567981011121314153456789101112131415162345678910111213141545678910111213141516234567891023456789111213151610171856789101112131415162345678910113456789101112131417[[#This Row],[Repair Time]])*24))</f>
        <v>224.12759999994887</v>
      </c>
      <c r="T6" s="37" t="str">
        <f>IF(Table_17891012131114153456789101112131415161745678910111213141516234567891011121314345671534567981011121314153456789101112131415162345678910111213141545678910111213141516234567891023456789111213151610171856789101112131415162345678910113456789101112131417[[#This Row],[Crew]]="","",IF(Table_17891012131114153456789101112131415161745678910111213141516234567891011121314345671534567981011121314153456789101112131415162345678910111213141545678910111213141516234567891023456789111213151610171856789101112131415162345678910113456789101112131417[[#This Row],[RD30]]="","N/Y Ready",IF(Table_17891012131114153456789101112131415161745678910111213141516234567891011121314345671534567981011121314153456789101112131415162345678910111213141545678910111213141516234567891023456789111213151610171856789101112131415162345678910113456789101112131417[[#This Row],[Repair Time2]]="N/Y Ready","N/Y Ready",SUM(Table_17891012131114153456789101112131415161745678910111213141516234567891011121314345671534567981011121314153456789101112131415162345678910111213141545678910111213141516234567891023456789111213151610171856789101112131415162345678910113456789101112131417[[#This Row],[Wait Labour]:[Repair Time2]]))))</f>
        <v>N/Y Ready</v>
      </c>
    </row>
    <row r="7" spans="2:21" ht="36" customHeight="1" x14ac:dyDescent="0.2">
      <c r="B7" s="32" t="s">
        <v>30</v>
      </c>
      <c r="C7" s="32" t="s">
        <v>34</v>
      </c>
      <c r="D7" s="32" t="str">
        <f>IF($C7="","",IFERROR(INDEX([10]Database!$B$17:$E$115,MATCH($C7,[10]Database!$E$17:$E$115,0),2),"Unit TDK ada di database"))</f>
        <v>SEA</v>
      </c>
      <c r="E7" s="32" t="str">
        <f>IF($C7="","",IFERROR(INDEX([10]Database!$B$17:$E$115,MATCH($C7,[10]Database!$E$17:$E$115,0),2),"Unit TDK ada di database"))</f>
        <v>SEA</v>
      </c>
      <c r="F7" s="32" t="s">
        <v>35</v>
      </c>
      <c r="G7" s="33"/>
      <c r="H7" s="32" t="str">
        <f t="shared" si="0"/>
        <v>RT</v>
      </c>
      <c r="I7" s="34">
        <v>46297.92291666667</v>
      </c>
      <c r="J7" s="34">
        <v>46298.186805555553</v>
      </c>
      <c r="K7" s="34"/>
      <c r="L7" s="35">
        <v>6691.6</v>
      </c>
      <c r="M7" s="35"/>
      <c r="N7" s="32" t="str">
        <f t="shared" si="1"/>
        <v/>
      </c>
      <c r="O7" s="32" t="s">
        <v>36</v>
      </c>
      <c r="P7" s="34"/>
      <c r="Q7" s="36"/>
      <c r="R7" s="37">
        <f ca="1">IF(Table_17891012131114153456789101112131415161745678910111213141516234567891011121314345671534567981011121314153456789101112131415162345678910111213141545678910111213141516234567891023456789111213151610171856789101112131415162345678910113456789101112131417[[#This Row],[Waiting Labour]]="","",IF(Table_17891012131114153456789101112131415161745678910111213141516234567891011121314345671534567981011121314153456789101112131415162345678910111213141545678910111213141516234567891023456789111213151610171856789101112131415162345678910113456789101112131417[[#This Row],[Repair Time]]="",(NOW()-Table_17891012131114153456789101112131415161745678910111213141516234567891011121314345671534567981011121314153456789101112131415162345678910111213141545678910111213141516234567891023456789111213151610171856789101112131415162345678910113456789101112131417[[#This Row],[Waiting Labour]])*24,(Table_17891012131114153456789101112131415161745678910111213141516234567891011121314345671534567981011121314153456789101112131415162345678910111213141545678910111213141516234567891023456789111213151610171856789101112131415162345678910113456789101112131417[[#This Row],[Repair Time]]-Table_17891012131114153456789101112131415161745678910111213141516234567891011121314345671534567981011121314153456789101112131415162345678910111213141545678910111213141516234567891023456789111213151610171856789101112131415162345678910113456789101112131417[[#This Row],[Waiting Labour]])*24))</f>
        <v>6.3333333331975155</v>
      </c>
      <c r="S7" s="37">
        <f ca="1">IF(Table_17891012131114153456789101112131415161745678910111213141516234567891011121314345671534567981011121314153456789101112131415162345678910111213141545678910111213141516234567891023456789111213151610171856789101112131415162345678910113456789101112131417[[#This Row],[Wait Labour]]="","",IF(Table_17891012131114153456789101112131415161745678910111213141516234567891011121314345671534567981011121314153456789101112131415162345678910111213141545678910111213141516234567891023456789111213151610171856789101112131415162345678910113456789101112131417[[#This Row],[RD30]]="",(NOW()-Table_17891012131114153456789101112131415161745678910111213141516234567891011121314345671534567981011121314153456789101112131415162345678910111213141545678910111213141516234567891023456789111213151610171856789101112131415162345678910113456789101112131417[[#This Row],[Repair Time]])*24,(Table_17891012131114153456789101112131415161745678910111213141516234567891011121314345671534567981011121314153456789101112131415162345678910111213141545678910111213141516234567891023456789111213151610171856789101112131415162345678910113456789101112131417[[#This Row],[RD30]]-Table_17891012131114153456789101112131415161745678910111213141516234567891011121314345671534567981011121314153456789101112131415162345678910111213141545678910111213141516234567891023456789111213151610171856789101112131415162345678910113456789101112131417[[#This Row],[Repair Time]])*24))</f>
        <v>175.17759999999544</v>
      </c>
      <c r="T7" s="37" t="str">
        <f>IF(Table_17891012131114153456789101112131415161745678910111213141516234567891011121314345671534567981011121314153456789101112131415162345678910111213141545678910111213141516234567891023456789111213151610171856789101112131415162345678910113456789101112131417[[#This Row],[Crew]]="","",IF(Table_17891012131114153456789101112131415161745678910111213141516234567891011121314345671534567981011121314153456789101112131415162345678910111213141545678910111213141516234567891023456789111213151610171856789101112131415162345678910113456789101112131417[[#This Row],[RD30]]="","N/Y Ready",IF(Table_17891012131114153456789101112131415161745678910111213141516234567891011121314345671534567981011121314153456789101112131415162345678910111213141545678910111213141516234567891023456789111213151610171856789101112131415162345678910113456789101112131417[[#This Row],[Repair Time2]]="N/Y Ready","N/Y Ready",SUM(Table_17891012131114153456789101112131415161745678910111213141516234567891011121314345671534567981011121314153456789101112131415162345678910111213141545678910111213141516234567891023456789111213151610171856789101112131415162345678910113456789101112131417[[#This Row],[Wait Labour]:[Repair Time2]]))))</f>
        <v>N/Y Ready</v>
      </c>
    </row>
    <row r="8" spans="2:21" ht="36" customHeight="1" x14ac:dyDescent="0.2">
      <c r="B8" s="32" t="s">
        <v>30</v>
      </c>
      <c r="C8" s="32" t="s">
        <v>37</v>
      </c>
      <c r="D8" s="32" t="str">
        <f>IF($C8="","",IFERROR(INDEX([10]Database!$B$17:$E$115,MATCH($C8,[10]Database!$E$17:$E$115,0),2),"Unit TDK ada di database"))</f>
        <v>SEA</v>
      </c>
      <c r="E8" s="32" t="str">
        <f>IF($C8="","",IFERROR(INDEX([10]Database!$B$17:$E$115,MATCH($C8,[10]Database!$E$17:$E$115,0),2),"Unit TDK ada di database"))</f>
        <v>SEA</v>
      </c>
      <c r="F8" s="32" t="s">
        <v>32</v>
      </c>
      <c r="G8" s="33"/>
      <c r="H8" s="32" t="str">
        <f t="shared" si="0"/>
        <v>RT</v>
      </c>
      <c r="I8" s="34">
        <v>46297.936111111114</v>
      </c>
      <c r="J8" s="34">
        <v>46297.936111111114</v>
      </c>
      <c r="K8" s="34"/>
      <c r="L8" s="35">
        <v>10254.9</v>
      </c>
      <c r="M8" s="35"/>
      <c r="N8" s="32" t="str">
        <f t="shared" si="1"/>
        <v/>
      </c>
      <c r="O8" s="32" t="s">
        <v>38</v>
      </c>
      <c r="P8" s="34"/>
      <c r="Q8" s="36"/>
      <c r="R8" s="37">
        <f ca="1">IF(Table_17891012131114153456789101112131415161745678910111213141516234567891011121314345671534567981011121314153456789101112131415162345678910111213141545678910111213141516234567891023456789111213151610171856789101112131415162345678910113456789101112131417[[#This Row],[Waiting Labour]]="","",IF(Table_17891012131114153456789101112131415161745678910111213141516234567891011121314345671534567981011121314153456789101112131415162345678910111213141545678910111213141516234567891023456789111213151610171856789101112131415162345678910113456789101112131417[[#This Row],[Repair Time]]="",(NOW()-Table_17891012131114153456789101112131415161745678910111213141516234567891011121314345671534567981011121314153456789101112131415162345678910111213141545678910111213141516234567891023456789111213151610171856789101112131415162345678910113456789101112131417[[#This Row],[Waiting Labour]])*24,(Table_17891012131114153456789101112131415161745678910111213141516234567891011121314345671534567981011121314153456789101112131415162345678910111213141545678910111213141516234567891023456789111213151610171856789101112131415162345678910113456789101112131417[[#This Row],[Repair Time]]-Table_17891012131114153456789101112131415161745678910111213141516234567891011121314345671534567981011121314153456789101112131415162345678910111213141545678910111213141516234567891023456789111213151610171856789101112131415162345678910113456789101112131417[[#This Row],[Waiting Labour]])*24))</f>
        <v>0</v>
      </c>
      <c r="S8" s="37">
        <f ca="1">IF(Table_17891012131114153456789101112131415161745678910111213141516234567891011121314345671534567981011121314153456789101112131415162345678910111213141545678910111213141516234567891023456789111213151610171856789101112131415162345678910113456789101112131417[[#This Row],[Wait Labour]]="","",IF(Table_17891012131114153456789101112131415161745678910111213141516234567891011121314345671534567981011121314153456789101112131415162345678910111213141545678910111213141516234567891023456789111213151610171856789101112131415162345678910113456789101112131417[[#This Row],[RD30]]="",(NOW()-Table_17891012131114153456789101112131415161745678910111213141516234567891011121314345671534567981011121314153456789101112131415162345678910111213141545678910111213141516234567891023456789111213151610171856789101112131415162345678910113456789101112131417[[#This Row],[Repair Time]])*24,(Table_17891012131114153456789101112131415161745678910111213141516234567891011121314345671534567981011121314153456789101112131415162345678910111213141545678910111213141516234567891023456789111213151610171856789101112131415162345678910113456789101112131417[[#This Row],[RD30]]-Table_17891012131114153456789101112131415161745678910111213141516234567891011121314345671534567981011121314153456789101112131415162345678910111213141545678910111213141516234567891023456789111213151610171856789101112131415162345678910113456789101112131417[[#This Row],[Repair Time]])*24))</f>
        <v>181.19426666654181</v>
      </c>
      <c r="T8" s="37" t="str">
        <f>IF(Table_17891012131114153456789101112131415161745678910111213141516234567891011121314345671534567981011121314153456789101112131415162345678910111213141545678910111213141516234567891023456789111213151610171856789101112131415162345678910113456789101112131417[[#This Row],[Crew]]="","",IF(Table_17891012131114153456789101112131415161745678910111213141516234567891011121314345671534567981011121314153456789101112131415162345678910111213141545678910111213141516234567891023456789111213151610171856789101112131415162345678910113456789101112131417[[#This Row],[RD30]]="","N/Y Ready",IF(Table_17891012131114153456789101112131415161745678910111213141516234567891011121314345671534567981011121314153456789101112131415162345678910111213141545678910111213141516234567891023456789111213151610171856789101112131415162345678910113456789101112131417[[#This Row],[Repair Time2]]="N/Y Ready","N/Y Ready",SUM(Table_17891012131114153456789101112131415161745678910111213141516234567891011121314345671534567981011121314153456789101112131415162345678910111213141545678910111213141516234567891023456789111213151610171856789101112131415162345678910113456789101112131417[[#This Row],[Wait Labour]:[Repair Time2]]))))</f>
        <v>N/Y Ready</v>
      </c>
    </row>
    <row r="9" spans="2:21" ht="36" customHeight="1" x14ac:dyDescent="0.2">
      <c r="B9" s="32" t="s">
        <v>30</v>
      </c>
      <c r="C9" s="32" t="s">
        <v>39</v>
      </c>
      <c r="D9" s="32" t="str">
        <f>IF($C9="","",IFERROR(INDEX([10]Database!$B$17:$E$115,MATCH($C9,[10]Database!$E$17:$E$115,0),2),"Unit TDK ada di database"))</f>
        <v>SEA</v>
      </c>
      <c r="E9" s="32" t="str">
        <f>IF($C9="","",IFERROR(INDEX([10]Database!$B$17:$E$115,MATCH($C9,[10]Database!$E$17:$E$115,0),2),"Unit TDK ada di database"))</f>
        <v>SEA</v>
      </c>
      <c r="F9" s="32"/>
      <c r="G9" s="33"/>
      <c r="H9" s="32" t="str">
        <f t="shared" si="0"/>
        <v>RT</v>
      </c>
      <c r="I9" s="34">
        <v>46299.670138888891</v>
      </c>
      <c r="J9" s="34">
        <v>46299.670138888891</v>
      </c>
      <c r="K9" s="34"/>
      <c r="L9" s="35">
        <v>5937.4</v>
      </c>
      <c r="M9" s="35"/>
      <c r="N9" s="32" t="str">
        <f t="shared" si="1"/>
        <v/>
      </c>
      <c r="O9" s="32" t="s">
        <v>40</v>
      </c>
      <c r="P9" s="34"/>
      <c r="Q9" s="36"/>
      <c r="R9" s="37">
        <f ca="1">IF(Table_17891012131114153456789101112131415161745678910111213141516234567891011121314345671534567981011121314153456789101112131415162345678910111213141545678910111213141516234567891023456789111213151610171856789101112131415162345678910113456789101112131417[[#This Row],[Waiting Labour]]="","",IF(Table_17891012131114153456789101112131415161745678910111213141516234567891011121314345671534567981011121314153456789101112131415162345678910111213141545678910111213141516234567891023456789111213151610171856789101112131415162345678910113456789101112131417[[#This Row],[Repair Time]]="",(NOW()-Table_17891012131114153456789101112131415161745678910111213141516234567891011121314345671534567981011121314153456789101112131415162345678910111213141545678910111213141516234567891023456789111213151610171856789101112131415162345678910113456789101112131417[[#This Row],[Waiting Labour]])*24,(Table_17891012131114153456789101112131415161745678910111213141516234567891011121314345671534567981011121314153456789101112131415162345678910111213141545678910111213141516234567891023456789111213151610171856789101112131415162345678910113456789101112131417[[#This Row],[Repair Time]]-Table_17891012131114153456789101112131415161745678910111213141516234567891011121314345671534567981011121314153456789101112131415162345678910111213141545678910111213141516234567891023456789111213151610171856789101112131415162345678910113456789101112131417[[#This Row],[Waiting Labour]])*24))</f>
        <v>0</v>
      </c>
      <c r="S9" s="37">
        <f ca="1">IF(Table_17891012131114153456789101112131415161745678910111213141516234567891011121314345671534567981011121314153456789101112131415162345678910111213141545678910111213141516234567891023456789111213151610171856789101112131415162345678910113456789101112131417[[#This Row],[Wait Labour]]="","",IF(Table_17891012131114153456789101112131415161745678910111213141516234567891011121314345671534567981011121314153456789101112131415162345678910111213141545678910111213141516234567891023456789111213151610171856789101112131415162345678910113456789101112131417[[#This Row],[RD30]]="",(NOW()-Table_17891012131114153456789101112131415161745678910111213141516234567891011121314345671534567981011121314153456789101112131415162345678910111213141545678910111213141516234567891023456789111213151610171856789101112131415162345678910113456789101112131417[[#This Row],[Repair Time]])*24,(Table_17891012131114153456789101112131415161745678910111213141516234567891011121314345671534567981011121314153456789101112131415162345678910111213141545678910111213141516234567891023456789111213151610171856789101112131415162345678910113456789101112131417[[#This Row],[RD30]]-Table_17891012131114153456789101112131415161745678910111213141516234567891011121314345671534567981011121314153456789101112131415162345678910111213141545678910111213141516234567891023456789111213151610171856789101112131415162345678910113456789101112131417[[#This Row],[Repair Time]])*24))</f>
        <v>139.5775999999023</v>
      </c>
      <c r="T9" s="37" t="str">
        <f>IF(Table_17891012131114153456789101112131415161745678910111213141516234567891011121314345671534567981011121314153456789101112131415162345678910111213141545678910111213141516234567891023456789111213151610171856789101112131415162345678910113456789101112131417[[#This Row],[Crew]]="","",IF(Table_17891012131114153456789101112131415161745678910111213141516234567891011121314345671534567981011121314153456789101112131415162345678910111213141545678910111213141516234567891023456789111213151610171856789101112131415162345678910113456789101112131417[[#This Row],[RD30]]="","N/Y Ready",IF(Table_17891012131114153456789101112131415161745678910111213141516234567891011121314345671534567981011121314153456789101112131415162345678910111213141545678910111213141516234567891023456789111213151610171856789101112131415162345678910113456789101112131417[[#This Row],[Repair Time2]]="N/Y Ready","N/Y Ready",SUM(Table_17891012131114153456789101112131415161745678910111213141516234567891011121314345671534567981011121314153456789101112131415162345678910111213141545678910111213141516234567891023456789111213151610171856789101112131415162345678910113456789101112131417[[#This Row],[Wait Labour]:[Repair Time2]]))))</f>
        <v>N/Y Ready</v>
      </c>
    </row>
    <row r="10" spans="2:21" ht="30.75" customHeight="1" x14ac:dyDescent="0.2">
      <c r="B10" s="32" t="s">
        <v>30</v>
      </c>
      <c r="C10" s="32" t="s">
        <v>41</v>
      </c>
      <c r="D10" s="32" t="str">
        <f>IF($C10="","",IFERROR(INDEX([10]Database!$B$17:$E$115,MATCH($C10,[10]Database!$E$17:$E$115,0),2),"Unit TDK ada di database"))</f>
        <v>Digger</v>
      </c>
      <c r="E10" s="32" t="str">
        <f>IF($C10="","",IFERROR(INDEX([10]Database!$B$17:$E$115,MATCH($C10,[10]Database!$E$17:$E$115,0),2),"Unit TDK ada di database"))</f>
        <v>Digger</v>
      </c>
      <c r="F10" s="32"/>
      <c r="G10" s="33"/>
      <c r="H10" s="32" t="str">
        <f t="shared" si="0"/>
        <v>RD30</v>
      </c>
      <c r="I10" s="34">
        <v>46300.418055555558</v>
      </c>
      <c r="J10" s="34">
        <v>46300.418055555558</v>
      </c>
      <c r="K10" s="34">
        <v>46302.101388888892</v>
      </c>
      <c r="L10" s="35">
        <v>34574</v>
      </c>
      <c r="M10" s="35">
        <v>34575</v>
      </c>
      <c r="N10" s="32">
        <f t="shared" si="1"/>
        <v>1</v>
      </c>
      <c r="O10" s="32" t="s">
        <v>42</v>
      </c>
      <c r="P10" s="36" t="s">
        <v>43</v>
      </c>
      <c r="Q10" s="36" t="s">
        <v>44</v>
      </c>
      <c r="R10" s="37">
        <f ca="1">IF(Table_17891012131114153456789101112131415161745678910111213141516234567891011121314345671534567981011121314153456789101112131415162345678910111213141545678910111213141516234567891023456789111213151610171856789101112131415162345678910113456789101112131417[[#This Row],[Waiting Labour]]="","",IF(Table_17891012131114153456789101112131415161745678910111213141516234567891011121314345671534567981011121314153456789101112131415162345678910111213141545678910111213141516234567891023456789111213151610171856789101112131415162345678910113456789101112131417[[#This Row],[Repair Time]]="",(NOW()-Table_17891012131114153456789101112131415161745678910111213141516234567891011121314345671534567981011121314153456789101112131415162345678910111213141545678910111213141516234567891023456789111213151610171856789101112131415162345678910113456789101112131417[[#This Row],[Waiting Labour]])*24,(Table_17891012131114153456789101112131415161745678910111213141516234567891011121314345671534567981011121314153456789101112131415162345678910111213141545678910111213141516234567891023456789111213151610171856789101112131415162345678910113456789101112131417[[#This Row],[Repair Time]]-Table_17891012131114153456789101112131415161745678910111213141516234567891011121314345671534567981011121314153456789101112131415162345678910111213141545678910111213141516234567891023456789111213151610171856789101112131415162345678910113456789101112131417[[#This Row],[Waiting Labour]])*24))</f>
        <v>0</v>
      </c>
      <c r="S10" s="37">
        <f ca="1">IF(Table_17891012131114153456789101112131415161745678910111213141516234567891011121314345671534567981011121314153456789101112131415162345678910111213141545678910111213141516234567891023456789111213151610171856789101112131415162345678910113456789101112131417[[#This Row],[Wait Labour]]="","",IF(Table_17891012131114153456789101112131415161745678910111213141516234567891011121314345671534567981011121314153456789101112131415162345678910111213141545678910111213141516234567891023456789111213151610171856789101112131415162345678910113456789101112131417[[#This Row],[RD30]]="",(NOW()-Table_17891012131114153456789101112131415161745678910111213141516234567891011121314345671534567981011121314153456789101112131415162345678910111213141545678910111213141516234567891023456789111213151610171856789101112131415162345678910113456789101112131417[[#This Row],[Repair Time]])*24,(Table_17891012131114153456789101112131415161745678910111213141516234567891011121314345671534567981011121314153456789101112131415162345678910111213141545678910111213141516234567891023456789111213151610171856789101112131415162345678910113456789101112131417[[#This Row],[RD30]]-Table_17891012131114153456789101112131415161745678910111213141516234567891011121314345671534567981011121314153456789101112131415162345678910111213141545678910111213141516234567891023456789111213151610171856789101112131415162345678910113456789101112131417[[#This Row],[Repair Time]])*24))</f>
        <v>40.400000000023283</v>
      </c>
      <c r="T10" s="37">
        <f ca="1">IF(Table_17891012131114153456789101112131415161745678910111213141516234567891011121314345671534567981011121314153456789101112131415162345678910111213141545678910111213141516234567891023456789111213151610171856789101112131415162345678910113456789101112131417[[#This Row],[Crew]]="","",IF(Table_17891012131114153456789101112131415161745678910111213141516234567891011121314345671534567981011121314153456789101112131415162345678910111213141545678910111213141516234567891023456789111213151610171856789101112131415162345678910113456789101112131417[[#This Row],[RD30]]="","N/Y Ready",IF(Table_17891012131114153456789101112131415161745678910111213141516234567891011121314345671534567981011121314153456789101112131415162345678910111213141545678910111213141516234567891023456789111213151610171856789101112131415162345678910113456789101112131417[[#This Row],[Repair Time2]]="N/Y Ready","N/Y Ready",SUM(Table_17891012131114153456789101112131415161745678910111213141516234567891011121314345671534567981011121314153456789101112131415162345678910111213141545678910111213141516234567891023456789111213151610171856789101112131415162345678910113456789101112131417[[#This Row],[Wait Labour]:[Repair Time2]]))))</f>
        <v>40.400000000023283</v>
      </c>
    </row>
    <row r="11" spans="2:21" ht="30.75" customHeight="1" x14ac:dyDescent="0.2">
      <c r="B11" s="32" t="s">
        <v>30</v>
      </c>
      <c r="C11" s="32" t="s">
        <v>45</v>
      </c>
      <c r="D11" s="32" t="str">
        <f>IF($C11="","",IFERROR(INDEX([10]Database!$B$17:$E$115,MATCH($C11,[10]Database!$E$17:$E$115,0),2),"Unit TDK ada di database"))</f>
        <v>HTM</v>
      </c>
      <c r="E11" s="32" t="str">
        <f>IF($C11="","",IFERROR(INDEX([10]Database!$B$17:$E$115,MATCH($C11,[10]Database!$E$17:$E$115,0),2),"Unit TDK ada di database"))</f>
        <v>HTM</v>
      </c>
      <c r="F11" s="32" t="s">
        <v>46</v>
      </c>
      <c r="G11" s="33"/>
      <c r="H11" s="32" t="str">
        <f t="shared" si="0"/>
        <v>RT</v>
      </c>
      <c r="I11" s="34">
        <v>46301.427083333336</v>
      </c>
      <c r="J11" s="34">
        <v>46301.427083333336</v>
      </c>
      <c r="K11" s="34"/>
      <c r="L11" s="35">
        <v>22390.799999999999</v>
      </c>
      <c r="M11" s="35"/>
      <c r="N11" s="32" t="str">
        <f t="shared" si="1"/>
        <v/>
      </c>
      <c r="O11" s="32" t="s">
        <v>47</v>
      </c>
      <c r="P11" s="34"/>
      <c r="Q11" s="36"/>
      <c r="R11" s="37">
        <f ca="1">IF(Table_17891012131114153456789101112131415161745678910111213141516234567891011121314345671534567981011121314153456789101112131415162345678910111213141545678910111213141516234567891023456789111213151610171856789101112131415162345678910113456789101112131417[[#This Row],[Waiting Labour]]="","",IF(Table_17891012131114153456789101112131415161745678910111213141516234567891011121314345671534567981011121314153456789101112131415162345678910111213141545678910111213141516234567891023456789111213151610171856789101112131415162345678910113456789101112131417[[#This Row],[Repair Time]]="",(NOW()-Table_17891012131114153456789101112131415161745678910111213141516234567891011121314345671534567981011121314153456789101112131415162345678910111213141545678910111213141516234567891023456789111213151610171856789101112131415162345678910113456789101112131417[[#This Row],[Waiting Labour]])*24,(Table_17891012131114153456789101112131415161745678910111213141516234567891011121314345671534567981011121314153456789101112131415162345678910111213141545678910111213141516234567891023456789111213151610171856789101112131415162345678910113456789101112131417[[#This Row],[Repair Time]]-Table_17891012131114153456789101112131415161745678910111213141516234567891011121314345671534567981011121314153456789101112131415162345678910111213141545678910111213141516234567891023456789111213151610171856789101112131415162345678910113456789101112131417[[#This Row],[Waiting Labour]])*24))</f>
        <v>0</v>
      </c>
      <c r="S11" s="37">
        <f ca="1">IF(Table_17891012131114153456789101112131415161745678910111213141516234567891011121314345671534567981011121314153456789101112131415162345678910111213141545678910111213141516234567891023456789111213151610171856789101112131415162345678910113456789101112131417[[#This Row],[Wait Labour]]="","",IF(Table_17891012131114153456789101112131415161745678910111213141516234567891011121314345671534567981011121314153456789101112131415162345678910111213141545678910111213141516234567891023456789111213151610171856789101112131415162345678910113456789101112131417[[#This Row],[RD30]]="",(NOW()-Table_17891012131114153456789101112131415161745678910111213141516234567891011121314345671534567981011121314153456789101112131415162345678910111213141545678910111213141516234567891023456789111213151610171856789101112131415162345678910113456789101112131417[[#This Row],[Repair Time]])*24,(Table_17891012131114153456789101112131415161745678910111213141516234567891011121314345671534567981011121314153456789101112131415162345678910111213141545678910111213141516234567891023456789111213151610171856789101112131415162345678910113456789101112131417[[#This Row],[RD30]]-Table_17891012131114153456789101112131415161745678910111213141516234567891011121314345671534567981011121314153456789101112131415162345678910111213141545678910111213141516234567891023456789111213151610171856789101112131415162345678910113456789101112131417[[#This Row],[Repair Time]])*24))</f>
        <v>97.410933333216235</v>
      </c>
      <c r="T11" s="37" t="str">
        <f>IF(Table_17891012131114153456789101112131415161745678910111213141516234567891011121314345671534567981011121314153456789101112131415162345678910111213141545678910111213141516234567891023456789111213151610171856789101112131415162345678910113456789101112131417[[#This Row],[Crew]]="","",IF(Table_17891012131114153456789101112131415161745678910111213141516234567891011121314345671534567981011121314153456789101112131415162345678910111213141545678910111213141516234567891023456789111213151610171856789101112131415162345678910113456789101112131417[[#This Row],[RD30]]="","N/Y Ready",IF(Table_17891012131114153456789101112131415161745678910111213141516234567891011121314345671534567981011121314153456789101112131415162345678910111213141545678910111213141516234567891023456789111213151610171856789101112131415162345678910113456789101112131417[[#This Row],[Repair Time2]]="N/Y Ready","N/Y Ready",SUM(Table_17891012131114153456789101112131415161745678910111213141516234567891011121314345671534567981011121314153456789101112131415162345678910111213141545678910111213141516234567891023456789111213151610171856789101112131415162345678910113456789101112131417[[#This Row],[Wait Labour]:[Repair Time2]]))))</f>
        <v>N/Y Ready</v>
      </c>
    </row>
    <row r="12" spans="2:21" ht="30.75" customHeight="1" x14ac:dyDescent="0.2">
      <c r="B12" s="32" t="s">
        <v>30</v>
      </c>
      <c r="C12" s="32" t="s">
        <v>48</v>
      </c>
      <c r="D12" s="32" t="str">
        <f>IF($C12="","",IFERROR(INDEX([10]Database!$B$17:$E$115,MATCH($C12,[10]Database!$E$17:$E$115,0),2),"Unit TDK ada di database"))</f>
        <v>SEA</v>
      </c>
      <c r="E12" s="32" t="str">
        <f>IF($C12="","",IFERROR(INDEX([10]Database!$B$17:$E$115,MATCH($C12,[10]Database!$E$17:$E$115,0),2),"Unit TDK ada di database"))</f>
        <v>SEA</v>
      </c>
      <c r="F12" s="32"/>
      <c r="G12" s="33"/>
      <c r="H12" s="32" t="str">
        <f t="shared" si="0"/>
        <v>RD30</v>
      </c>
      <c r="I12" s="34">
        <v>46301.4375</v>
      </c>
      <c r="J12" s="34">
        <v>46301.890972222223</v>
      </c>
      <c r="K12" s="34">
        <v>46301.972916666666</v>
      </c>
      <c r="L12" s="35">
        <v>9697.7999999999993</v>
      </c>
      <c r="M12" s="35">
        <v>9698.2000000000007</v>
      </c>
      <c r="N12" s="32">
        <f t="shared" si="1"/>
        <v>0.40000000000145519</v>
      </c>
      <c r="O12" s="32" t="s">
        <v>49</v>
      </c>
      <c r="P12" s="34" t="s">
        <v>50</v>
      </c>
      <c r="Q12" s="36"/>
      <c r="R12" s="37">
        <f ca="1">IF(Table_17891012131114153456789101112131415161745678910111213141516234567891011121314345671534567981011121314153456789101112131415162345678910111213141545678910111213141516234567891023456789111213151610171856789101112131415162345678910113456789101112131417[[#This Row],[Waiting Labour]]="","",IF(Table_17891012131114153456789101112131415161745678910111213141516234567891011121314345671534567981011121314153456789101112131415162345678910111213141545678910111213141516234567891023456789111213151610171856789101112131415162345678910113456789101112131417[[#This Row],[Repair Time]]="",(NOW()-Table_17891012131114153456789101112131415161745678910111213141516234567891011121314345671534567981011121314153456789101112131415162345678910111213141545678910111213141516234567891023456789111213151610171856789101112131415162345678910113456789101112131417[[#This Row],[Waiting Labour]])*24,(Table_17891012131114153456789101112131415161745678910111213141516234567891011121314345671534567981011121314153456789101112131415162345678910111213141545678910111213141516234567891023456789111213151610171856789101112131415162345678910113456789101112131417[[#This Row],[Repair Time]]-Table_17891012131114153456789101112131415161745678910111213141516234567891011121314345671534567981011121314153456789101112131415162345678910111213141545678910111213141516234567891023456789111213151610171856789101112131415162345678910113456789101112131417[[#This Row],[Waiting Labour]])*24))</f>
        <v>10.883333333360497</v>
      </c>
      <c r="S12" s="37">
        <f ca="1">IF(Table_17891012131114153456789101112131415161745678910111213141516234567891011121314345671534567981011121314153456789101112131415162345678910111213141545678910111213141516234567891023456789111213151610171856789101112131415162345678910113456789101112131417[[#This Row],[Wait Labour]]="","",IF(Table_17891012131114153456789101112131415161745678910111213141516234567891011121314345671534567981011121314153456789101112131415162345678910111213141545678910111213141516234567891023456789111213151610171856789101112131415162345678910113456789101112131417[[#This Row],[RD30]]="",(NOW()-Table_17891012131114153456789101112131415161745678910111213141516234567891011121314345671534567981011121314153456789101112131415162345678910111213141545678910111213141516234567891023456789111213151610171856789101112131415162345678910113456789101112131417[[#This Row],[Repair Time]])*24,(Table_17891012131114153456789101112131415161745678910111213141516234567891011121314345671534567981011121314153456789101112131415162345678910111213141545678910111213141516234567891023456789111213151610171856789101112131415162345678910113456789101112131417[[#This Row],[RD30]]-Table_17891012131114153456789101112131415161745678910111213141516234567891011121314345671534567981011121314153456789101112131415162345678910111213141545678910111213141516234567891023456789111213151610171856789101112131415162345678910113456789101112131417[[#This Row],[Repair Time]])*24))</f>
        <v>1.96666666661622</v>
      </c>
      <c r="T12" s="37">
        <f ca="1">IF(Table_17891012131114153456789101112131415161745678910111213141516234567891011121314345671534567981011121314153456789101112131415162345678910111213141545678910111213141516234567891023456789111213151610171856789101112131415162345678910113456789101112131417[[#This Row],[Crew]]="","",IF(Table_17891012131114153456789101112131415161745678910111213141516234567891011121314345671534567981011121314153456789101112131415162345678910111213141545678910111213141516234567891023456789111213151610171856789101112131415162345678910113456789101112131417[[#This Row],[RD30]]="","N/Y Ready",IF(Table_17891012131114153456789101112131415161745678910111213141516234567891011121314345671534567981011121314153456789101112131415162345678910111213141545678910111213141516234567891023456789111213151610171856789101112131415162345678910113456789101112131417[[#This Row],[Repair Time2]]="N/Y Ready","N/Y Ready",SUM(Table_17891012131114153456789101112131415161745678910111213141516234567891011121314345671534567981011121314153456789101112131415162345678910111213141545678910111213141516234567891023456789111213151610171856789101112131415162345678910113456789101112131417[[#This Row],[Wait Labour]:[Repair Time2]]))))</f>
        <v>12.849999999976717</v>
      </c>
    </row>
    <row r="13" spans="2:21" ht="30.75" customHeight="1" x14ac:dyDescent="0.2">
      <c r="B13" s="32" t="s">
        <v>30</v>
      </c>
      <c r="C13" s="32" t="s">
        <v>51</v>
      </c>
      <c r="D13" s="32" t="str">
        <f>IF($C13="","",IFERROR(INDEX([10]Database!$B$17:$E$115,MATCH($C13,[10]Database!$E$17:$E$115,0),2),"Unit TDK ada di database"))</f>
        <v>SEA</v>
      </c>
      <c r="E13" s="32" t="str">
        <f>IF($C13="","",IFERROR(INDEX([10]Database!$B$17:$E$115,MATCH($C13,[10]Database!$E$17:$E$115,0),2),"Unit TDK ada di database"))</f>
        <v>SEA</v>
      </c>
      <c r="F13" s="32" t="s">
        <v>52</v>
      </c>
      <c r="G13" s="33"/>
      <c r="H13" s="32" t="str">
        <f t="shared" si="0"/>
        <v>RT</v>
      </c>
      <c r="I13" s="34">
        <v>46301.565972222219</v>
      </c>
      <c r="J13" s="34">
        <v>46301.86041666667</v>
      </c>
      <c r="K13" s="34"/>
      <c r="L13" s="35">
        <v>10274.200000000001</v>
      </c>
      <c r="M13" s="35"/>
      <c r="N13" s="32" t="str">
        <f t="shared" si="1"/>
        <v/>
      </c>
      <c r="O13" s="32" t="s">
        <v>53</v>
      </c>
      <c r="P13" s="34"/>
      <c r="Q13" s="36"/>
      <c r="R13" s="37">
        <f ca="1">IF(Table_17891012131114153456789101112131415161745678910111213141516234567891011121314345671534567981011121314153456789101112131415162345678910111213141545678910111213141516234567891023456789111213151610171856789101112131415162345678910113456789101112131417[[#This Row],[Waiting Labour]]="","",IF(Table_17891012131114153456789101112131415161745678910111213141516234567891011121314345671534567981011121314153456789101112131415162345678910111213141545678910111213141516234567891023456789111213151610171856789101112131415162345678910113456789101112131417[[#This Row],[Repair Time]]="",(NOW()-Table_17891012131114153456789101112131415161745678910111213141516234567891011121314345671534567981011121314153456789101112131415162345678910111213141545678910111213141516234567891023456789111213151610171856789101112131415162345678910113456789101112131417[[#This Row],[Waiting Labour]])*24,(Table_17891012131114153456789101112131415161745678910111213141516234567891011121314345671534567981011121314153456789101112131415162345678910111213141545678910111213141516234567891023456789111213151610171856789101112131415162345678910113456789101112131417[[#This Row],[Repair Time]]-Table_17891012131114153456789101112131415161745678910111213141516234567891011121314345671534567981011121314153456789101112131415162345678910111213141545678910111213141516234567891023456789111213151610171856789101112131415162345678910113456789101112131417[[#This Row],[Waiting Labour]])*24))</f>
        <v>7.0666666668257676</v>
      </c>
      <c r="S13" s="37">
        <f ca="1">IF(Table_17891012131114153456789101112131415161745678910111213141516234567891011121314345671534567981011121314153456789101112131415162345678910111213141545678910111213141516234567891023456789111213151610171856789101112131415162345678910113456789101112131417[[#This Row],[Wait Labour]]="","",IF(Table_17891012131114153456789101112131415161745678910111213141516234567891011121314345671534567981011121314153456789101112131415162345678910111213141545678910111213141516234567891023456789111213151610171856789101112131415162345678910113456789101112131417[[#This Row],[RD30]]="",(NOW()-Table_17891012131114153456789101112131415161745678910111213141516234567891011121314345671534567981011121314153456789101112131415162345678910111213141545678910111213141516234567891023456789111213151610171856789101112131415162345678910113456789101112131417[[#This Row],[Repair Time]])*24,(Table_17891012131114153456789101112131415161745678910111213141516234567891011121314345671534567981011121314153456789101112131415162345678910111213141545678910111213141516234567891023456789111213151610171856789101112131415162345678910113456789101112131417[[#This Row],[RD30]]-Table_17891012131114153456789101112131415161745678910111213141516234567891011121314345671534567981011121314153456789101112131415162345678910111213141545678910111213141516234567891023456789111213151610171856789101112131415162345678910113456789101112131417[[#This Row],[Repair Time]])*24))</f>
        <v>87.010933333192952</v>
      </c>
      <c r="T13" s="37" t="str">
        <f>IF(Table_17891012131114153456789101112131415161745678910111213141516234567891011121314345671534567981011121314153456789101112131415162345678910111213141545678910111213141516234567891023456789111213151610171856789101112131415162345678910113456789101112131417[[#This Row],[Crew]]="","",IF(Table_17891012131114153456789101112131415161745678910111213141516234567891011121314345671534567981011121314153456789101112131415162345678910111213141545678910111213141516234567891023456789111213151610171856789101112131415162345678910113456789101112131417[[#This Row],[RD30]]="","N/Y Ready",IF(Table_17891012131114153456789101112131415161745678910111213141516234567891011121314345671534567981011121314153456789101112131415162345678910111213141545678910111213141516234567891023456789111213151610171856789101112131415162345678910113456789101112131417[[#This Row],[Repair Time2]]="N/Y Ready","N/Y Ready",SUM(Table_17891012131114153456789101112131415161745678910111213141516234567891011121314345671534567981011121314153456789101112131415162345678910111213141545678910111213141516234567891023456789111213151610171856789101112131415162345678910113456789101112131417[[#This Row],[Wait Labour]:[Repair Time2]]))))</f>
        <v>N/Y Ready</v>
      </c>
    </row>
    <row r="14" spans="2:21" ht="30.75" customHeight="1" x14ac:dyDescent="0.2">
      <c r="B14" s="32" t="s">
        <v>30</v>
      </c>
      <c r="C14" s="32" t="s">
        <v>54</v>
      </c>
      <c r="D14" s="32" t="str">
        <f>IF($C14="","",IFERROR(INDEX([10]Database!$B$17:$E$115,MATCH($C14,[10]Database!$E$17:$E$115,0),2),"Unit TDK ada di database"))</f>
        <v>SEA</v>
      </c>
      <c r="E14" s="32" t="str">
        <f>IF($C14="","",IFERROR(INDEX([10]Database!$B$17:$E$115,MATCH($C14,[10]Database!$E$17:$E$115,0),2),"Unit TDK ada di database"))</f>
        <v>SEA</v>
      </c>
      <c r="F14" s="32"/>
      <c r="G14" s="33"/>
      <c r="H14" s="32" t="str">
        <f t="shared" si="0"/>
        <v>RD30</v>
      </c>
      <c r="I14" s="34">
        <v>46301.981944444444</v>
      </c>
      <c r="J14" s="34">
        <v>46301.981944444444</v>
      </c>
      <c r="K14" s="34">
        <v>46302.060416666667</v>
      </c>
      <c r="L14" s="35">
        <v>12615.8</v>
      </c>
      <c r="M14" s="35">
        <v>12615.8</v>
      </c>
      <c r="N14" s="32">
        <f t="shared" si="1"/>
        <v>0</v>
      </c>
      <c r="O14" s="32" t="s">
        <v>55</v>
      </c>
      <c r="P14" s="34" t="s">
        <v>56</v>
      </c>
      <c r="Q14" s="36"/>
      <c r="R14" s="37">
        <f ca="1">IF(Table_17891012131114153456789101112131415161745678910111213141516234567891011121314345671534567981011121314153456789101112131415162345678910111213141545678910111213141516234567891023456789111213151610171856789101112131415162345678910113456789101112131417[[#This Row],[Waiting Labour]]="","",IF(Table_17891012131114153456789101112131415161745678910111213141516234567891011121314345671534567981011121314153456789101112131415162345678910111213141545678910111213141516234567891023456789111213151610171856789101112131415162345678910113456789101112131417[[#This Row],[Repair Time]]="",(NOW()-Table_17891012131114153456789101112131415161745678910111213141516234567891011121314345671534567981011121314153456789101112131415162345678910111213141545678910111213141516234567891023456789111213151610171856789101112131415162345678910113456789101112131417[[#This Row],[Waiting Labour]])*24,(Table_17891012131114153456789101112131415161745678910111213141516234567891011121314345671534567981011121314153456789101112131415162345678910111213141545678910111213141516234567891023456789111213151610171856789101112131415162345678910113456789101112131417[[#This Row],[Repair Time]]-Table_17891012131114153456789101112131415161745678910111213141516234567891011121314345671534567981011121314153456789101112131415162345678910111213141545678910111213141516234567891023456789111213151610171856789101112131415162345678910113456789101112131417[[#This Row],[Waiting Labour]])*24))</f>
        <v>0</v>
      </c>
      <c r="S14" s="37">
        <f ca="1">IF(Table_17891012131114153456789101112131415161745678910111213141516234567891011121314345671534567981011121314153456789101112131415162345678910111213141545678910111213141516234567891023456789111213151610171856789101112131415162345678910113456789101112131417[[#This Row],[Wait Labour]]="","",IF(Table_17891012131114153456789101112131415161745678910111213141516234567891011121314345671534567981011121314153456789101112131415162345678910111213141545678910111213141516234567891023456789111213151610171856789101112131415162345678910113456789101112131417[[#This Row],[RD30]]="",(NOW()-Table_17891012131114153456789101112131415161745678910111213141516234567891011121314345671534567981011121314153456789101112131415162345678910111213141545678910111213141516234567891023456789111213151610171856789101112131415162345678910113456789101112131417[[#This Row],[Repair Time]])*24,(Table_17891012131114153456789101112131415161745678910111213141516234567891011121314345671534567981011121314153456789101112131415162345678910111213141545678910111213141516234567891023456789111213151610171856789101112131415162345678910113456789101112131417[[#This Row],[RD30]]-Table_17891012131114153456789101112131415161745678910111213141516234567891011121314345671534567981011121314153456789101112131415162345678910111213141545678910111213141516234567891023456789111213151610171856789101112131415162345678910113456789101112131417[[#This Row],[Repair Time]])*24))</f>
        <v>1.8833333333604969</v>
      </c>
      <c r="T14" s="37">
        <f ca="1">IF(Table_17891012131114153456789101112131415161745678910111213141516234567891011121314345671534567981011121314153456789101112131415162345678910111213141545678910111213141516234567891023456789111213151610171856789101112131415162345678910113456789101112131417[[#This Row],[Crew]]="","",IF(Table_17891012131114153456789101112131415161745678910111213141516234567891011121314345671534567981011121314153456789101112131415162345678910111213141545678910111213141516234567891023456789111213151610171856789101112131415162345678910113456789101112131417[[#This Row],[RD30]]="","N/Y Ready",IF(Table_17891012131114153456789101112131415161745678910111213141516234567891011121314345671534567981011121314153456789101112131415162345678910111213141545678910111213141516234567891023456789111213151610171856789101112131415162345678910113456789101112131417[[#This Row],[Repair Time2]]="N/Y Ready","N/Y Ready",SUM(Table_17891012131114153456789101112131415161745678910111213141516234567891011121314345671534567981011121314153456789101112131415162345678910111213141545678910111213141516234567891023456789111213151610171856789101112131415162345678910113456789101112131417[[#This Row],[Wait Labour]:[Repair Time2]]))))</f>
        <v>1.8833333333604969</v>
      </c>
    </row>
    <row r="15" spans="2:21" ht="31.5" customHeight="1" x14ac:dyDescent="0.2">
      <c r="B15" s="32" t="s">
        <v>30</v>
      </c>
      <c r="C15" s="32" t="s">
        <v>57</v>
      </c>
      <c r="D15" s="32" t="str">
        <f>IF($C15="","",IFERROR(INDEX([10]Database!$B$17:$E$115,MATCH($C15,[10]Database!$E$17:$E$115,0),2),"Unit TDK ada di database"))</f>
        <v>EXM/Coal Mining</v>
      </c>
      <c r="E15" s="32" t="str">
        <f>IF($C15="","",IFERROR(INDEX([10]Database!$B$17:$E$115,MATCH($C15,[10]Database!$E$17:$E$115,0),2),"Unit TDK ada di database"))</f>
        <v>EXM/Coal Mining</v>
      </c>
      <c r="F15" s="32" t="s">
        <v>58</v>
      </c>
      <c r="G15" s="33"/>
      <c r="H15" s="32" t="str">
        <f t="shared" si="0"/>
        <v>RD30</v>
      </c>
      <c r="I15" s="34">
        <v>46302.138194444444</v>
      </c>
      <c r="J15" s="34">
        <v>46302.202777777777</v>
      </c>
      <c r="K15" s="34">
        <v>46302.223611111112</v>
      </c>
      <c r="L15" s="35">
        <v>10953</v>
      </c>
      <c r="M15" s="35">
        <v>10953</v>
      </c>
      <c r="N15" s="32">
        <f t="shared" si="1"/>
        <v>0</v>
      </c>
      <c r="O15" s="32" t="s">
        <v>59</v>
      </c>
      <c r="P15" s="34" t="s">
        <v>60</v>
      </c>
      <c r="Q15" s="36"/>
      <c r="R15" s="37">
        <f ca="1">IF(Table_17891012131114153456789101112131415161745678910111213141516234567891011121314345671534567981011121314153456789101112131415162345678910111213141545678910111213141516234567891023456789111213151610171856789101112131415162345678910113456789101112131417[[#This Row],[Waiting Labour]]="","",IF(Table_17891012131114153456789101112131415161745678910111213141516234567891011121314345671534567981011121314153456789101112131415162345678910111213141545678910111213141516234567891023456789111213151610171856789101112131415162345678910113456789101112131417[[#This Row],[Repair Time]]="",(NOW()-Table_17891012131114153456789101112131415161745678910111213141516234567891011121314345671534567981011121314153456789101112131415162345678910111213141545678910111213141516234567891023456789111213151610171856789101112131415162345678910113456789101112131417[[#This Row],[Waiting Labour]])*24,(Table_17891012131114153456789101112131415161745678910111213141516234567891011121314345671534567981011121314153456789101112131415162345678910111213141545678910111213141516234567891023456789111213151610171856789101112131415162345678910113456789101112131417[[#This Row],[Repair Time]]-Table_17891012131114153456789101112131415161745678910111213141516234567891011121314345671534567981011121314153456789101112131415162345678910111213141545678910111213141516234567891023456789111213151610171856789101112131415162345678910113456789101112131417[[#This Row],[Waiting Labour]])*24))</f>
        <v>1.5499999999883585</v>
      </c>
      <c r="S15" s="37">
        <f ca="1">IF(Table_17891012131114153456789101112131415161745678910111213141516234567891011121314345671534567981011121314153456789101112131415162345678910111213141545678910111213141516234567891023456789111213151610171856789101112131415162345678910113456789101112131417[[#This Row],[Wait Labour]]="","",IF(Table_17891012131114153456789101112131415161745678910111213141516234567891011121314345671534567981011121314153456789101112131415162345678910111213141545678910111213141516234567891023456789111213151610171856789101112131415162345678910113456789101112131417[[#This Row],[RD30]]="",(NOW()-Table_17891012131114153456789101112131415161745678910111213141516234567891011121314345671534567981011121314153456789101112131415162345678910111213141545678910111213141516234567891023456789111213151610171856789101112131415162345678910113456789101112131417[[#This Row],[Repair Time]])*24,(Table_17891012131114153456789101112131415161745678910111213141516234567891011121314345671534567981011121314153456789101112131415162345678910111213141545678910111213141516234567891023456789111213151610171856789101112131415162345678910113456789101112131417[[#This Row],[RD30]]-Table_17891012131114153456789101112131415161745678910111213141516234567891011121314345671534567981011121314153456789101112131415162345678910111213141545678910111213141516234567891023456789111213151610171856789101112131415162345678910113456789101112131417[[#This Row],[Repair Time]])*24))</f>
        <v>0.50000000005820766</v>
      </c>
      <c r="T15" s="37">
        <f ca="1">IF(Table_17891012131114153456789101112131415161745678910111213141516234567891011121314345671534567981011121314153456789101112131415162345678910111213141545678910111213141516234567891023456789111213151610171856789101112131415162345678910113456789101112131417[[#This Row],[Crew]]="","",IF(Table_17891012131114153456789101112131415161745678910111213141516234567891011121314345671534567981011121314153456789101112131415162345678910111213141545678910111213141516234567891023456789111213151610171856789101112131415162345678910113456789101112131417[[#This Row],[RD30]]="","N/Y Ready",IF(Table_17891012131114153456789101112131415161745678910111213141516234567891011121314345671534567981011121314153456789101112131415162345678910111213141545678910111213141516234567891023456789111213151610171856789101112131415162345678910113456789101112131417[[#This Row],[Repair Time2]]="N/Y Ready","N/Y Ready",SUM(Table_17891012131114153456789101112131415161745678910111213141516234567891011121314345671534567981011121314153456789101112131415162345678910111213141545678910111213141516234567891023456789111213151610171856789101112131415162345678910113456789101112131417[[#This Row],[Wait Labour]:[Repair Time2]]))))</f>
        <v>2.0500000000465661</v>
      </c>
    </row>
    <row r="16" spans="2:21" ht="31.5" customHeight="1" x14ac:dyDescent="0.2">
      <c r="B16" s="32" t="s">
        <v>30</v>
      </c>
      <c r="C16" s="32" t="s">
        <v>61</v>
      </c>
      <c r="D16" s="32" t="str">
        <f>IF($C16="","",IFERROR(INDEX([10]Database!$B$17:$E$115,MATCH($C16,[10]Database!$E$17:$E$115,0),2),"Unit TDK ada di database"))</f>
        <v>HTM</v>
      </c>
      <c r="E16" s="32" t="str">
        <f>IF($C16="","",IFERROR(INDEX([10]Database!$B$17:$E$115,MATCH($C16,[10]Database!$E$17:$E$115,0),2),"Unit TDK ada di database"))</f>
        <v>HTM</v>
      </c>
      <c r="F16" s="32" t="s">
        <v>46</v>
      </c>
      <c r="G16" s="33"/>
      <c r="H16" s="32" t="str">
        <f t="shared" si="0"/>
        <v>RD30</v>
      </c>
      <c r="I16" s="34">
        <v>46301.979166666664</v>
      </c>
      <c r="J16" s="34">
        <v>46301.984722222223</v>
      </c>
      <c r="K16" s="34">
        <v>46301.984722222223</v>
      </c>
      <c r="L16" s="35">
        <v>22740.400000000001</v>
      </c>
      <c r="M16" s="35">
        <v>22740.400000000001</v>
      </c>
      <c r="N16" s="32">
        <f t="shared" si="1"/>
        <v>0</v>
      </c>
      <c r="O16" s="32" t="s">
        <v>62</v>
      </c>
      <c r="P16" s="34" t="s">
        <v>63</v>
      </c>
      <c r="Q16" s="36"/>
      <c r="R16" s="37">
        <f ca="1">IF(Table_17891012131114153456789101112131415161745678910111213141516234567891011121314345671534567981011121314153456789101112131415162345678910111213141545678910111213141516234567891023456789111213151610171856789101112131415162345678910113456789101112131417[[#This Row],[Waiting Labour]]="","",IF(Table_17891012131114153456789101112131415161745678910111213141516234567891011121314345671534567981011121314153456789101112131415162345678910111213141545678910111213141516234567891023456789111213151610171856789101112131415162345678910113456789101112131417[[#This Row],[Repair Time]]="",(NOW()-Table_17891012131114153456789101112131415161745678910111213141516234567891011121314345671534567981011121314153456789101112131415162345678910111213141545678910111213141516234567891023456789111213151610171856789101112131415162345678910113456789101112131417[[#This Row],[Waiting Labour]])*24,(Table_17891012131114153456789101112131415161745678910111213141516234567891011121314345671534567981011121314153456789101112131415162345678910111213141545678910111213141516234567891023456789111213151610171856789101112131415162345678910113456789101112131417[[#This Row],[Repair Time]]-Table_17891012131114153456789101112131415161745678910111213141516234567891011121314345671534567981011121314153456789101112131415162345678910111213141545678910111213141516234567891023456789111213151610171856789101112131415162345678910113456789101112131417[[#This Row],[Waiting Labour]])*24))</f>
        <v>0.13333333341870457</v>
      </c>
      <c r="S16" s="37">
        <f ca="1">IF(Table_17891012131114153456789101112131415161745678910111213141516234567891011121314345671534567981011121314153456789101112131415162345678910111213141545678910111213141516234567891023456789111213151610171856789101112131415162345678910113456789101112131417[[#This Row],[Wait Labour]]="","",IF(Table_17891012131114153456789101112131415161745678910111213141516234567891011121314345671534567981011121314153456789101112131415162345678910111213141545678910111213141516234567891023456789111213151610171856789101112131415162345678910113456789101112131417[[#This Row],[RD30]]="",(NOW()-Table_17891012131114153456789101112131415161745678910111213141516234567891011121314345671534567981011121314153456789101112131415162345678910111213141545678910111213141516234567891023456789111213151610171856789101112131415162345678910113456789101112131417[[#This Row],[Repair Time]])*24,(Table_17891012131114153456789101112131415161745678910111213141516234567891011121314345671534567981011121314153456789101112131415162345678910111213141545678910111213141516234567891023456789111213151610171856789101112131415162345678910113456789101112131417[[#This Row],[RD30]]-Table_17891012131114153456789101112131415161745678910111213141516234567891011121314345671534567981011121314153456789101112131415162345678910111213141545678910111213141516234567891023456789111213151610171856789101112131415162345678910113456789101112131417[[#This Row],[Repair Time]])*24))</f>
        <v>0</v>
      </c>
      <c r="T16" s="37">
        <f ca="1">IF(Table_17891012131114153456789101112131415161745678910111213141516234567891011121314345671534567981011121314153456789101112131415162345678910111213141545678910111213141516234567891023456789111213151610171856789101112131415162345678910113456789101112131417[[#This Row],[Crew]]="","",IF(Table_17891012131114153456789101112131415161745678910111213141516234567891011121314345671534567981011121314153456789101112131415162345678910111213141545678910111213141516234567891023456789111213151610171856789101112131415162345678910113456789101112131417[[#This Row],[RD30]]="","N/Y Ready",IF(Table_17891012131114153456789101112131415161745678910111213141516234567891011121314345671534567981011121314153456789101112131415162345678910111213141545678910111213141516234567891023456789111213151610171856789101112131415162345678910113456789101112131417[[#This Row],[Repair Time2]]="N/Y Ready","N/Y Ready",SUM(Table_17891012131114153456789101112131415161745678910111213141516234567891011121314345671534567981011121314153456789101112131415162345678910111213141545678910111213141516234567891023456789111213151610171856789101112131415162345678910113456789101112131417[[#This Row],[Wait Labour]:[Repair Time2]]))))</f>
        <v>0.13333333341870457</v>
      </c>
    </row>
    <row r="17" spans="2:20" ht="31.5" customHeight="1" x14ac:dyDescent="0.2">
      <c r="B17" s="32" t="s">
        <v>30</v>
      </c>
      <c r="C17" s="32" t="s">
        <v>64</v>
      </c>
      <c r="D17" s="32" t="str">
        <f>IF($C17="","",IFERROR(INDEX([10]Database!$B$17:$E$115,MATCH($C17,[10]Database!$E$17:$E$115,0),2),"Unit TDK ada di database"))</f>
        <v>HTM</v>
      </c>
      <c r="E17" s="32" t="str">
        <f>IF($C17="","",IFERROR(INDEX([10]Database!$B$17:$E$115,MATCH($C17,[10]Database!$E$17:$E$115,0),2),"Unit TDK ada di database"))</f>
        <v>HTM</v>
      </c>
      <c r="F17" s="32" t="s">
        <v>46</v>
      </c>
      <c r="G17" s="33"/>
      <c r="H17" s="32" t="str">
        <f t="shared" si="0"/>
        <v>RD30</v>
      </c>
      <c r="I17" s="34">
        <v>46302.116666666669</v>
      </c>
      <c r="J17" s="34">
        <v>46302.177083333336</v>
      </c>
      <c r="K17" s="34">
        <v>46302.249305555553</v>
      </c>
      <c r="L17" s="35">
        <v>35763</v>
      </c>
      <c r="M17" s="35">
        <v>35763</v>
      </c>
      <c r="N17" s="32">
        <f t="shared" si="1"/>
        <v>0</v>
      </c>
      <c r="O17" s="32" t="s">
        <v>65</v>
      </c>
      <c r="P17" s="34" t="s">
        <v>66</v>
      </c>
      <c r="Q17" s="36"/>
      <c r="R17" s="37">
        <f ca="1">IF(Table_17891012131114153456789101112131415161745678910111213141516234567891011121314345671534567981011121314153456789101112131415162345678910111213141545678910111213141516234567891023456789111213151610171856789101112131415162345678910113456789101112131417[[#This Row],[Waiting Labour]]="","",IF(Table_17891012131114153456789101112131415161745678910111213141516234567891011121314345671534567981011121314153456789101112131415162345678910111213141545678910111213141516234567891023456789111213151610171856789101112131415162345678910113456789101112131417[[#This Row],[Repair Time]]="",(NOW()-Table_17891012131114153456789101112131415161745678910111213141516234567891011121314345671534567981011121314153456789101112131415162345678910111213141545678910111213141516234567891023456789111213151610171856789101112131415162345678910113456789101112131417[[#This Row],[Waiting Labour]])*24,(Table_17891012131114153456789101112131415161745678910111213141516234567891011121314345671534567981011121314153456789101112131415162345678910111213141545678910111213141516234567891023456789111213151610171856789101112131415162345678910113456789101112131417[[#This Row],[Repair Time]]-Table_17891012131114153456789101112131415161745678910111213141516234567891011121314345671534567981011121314153456789101112131415162345678910111213141545678910111213141516234567891023456789111213151610171856789101112131415162345678910113456789101112131417[[#This Row],[Waiting Labour]])*24))</f>
        <v>1.4500000000116415</v>
      </c>
      <c r="S17" s="37">
        <f ca="1">IF(Table_17891012131114153456789101112131415161745678910111213141516234567891011121314345671534567981011121314153456789101112131415162345678910111213141545678910111213141516234567891023456789111213151610171856789101112131415162345678910113456789101112131417[[#This Row],[Wait Labour]]="","",IF(Table_17891012131114153456789101112131415161745678910111213141516234567891011121314345671534567981011121314153456789101112131415162345678910111213141545678910111213141516234567891023456789111213151610171856789101112131415162345678910113456789101112131417[[#This Row],[RD30]]="",(NOW()-Table_17891012131114153456789101112131415161745678910111213141516234567891011121314345671534567981011121314153456789101112131415162345678910111213141545678910111213141516234567891023456789111213151610171856789101112131415162345678910113456789101112131417[[#This Row],[Repair Time]])*24,(Table_17891012131114153456789101112131415161745678910111213141516234567891011121314345671534567981011121314153456789101112131415162345678910111213141545678910111213141516234567891023456789111213151610171856789101112131415162345678910113456789101112131417[[#This Row],[RD30]]-Table_17891012131114153456789101112131415161745678910111213141516234567891011121314345671534567981011121314153456789101112131415162345678910111213141545678910111213141516234567891023456789111213151610171856789101112131415162345678910113456789101112131417[[#This Row],[Repair Time]])*24))</f>
        <v>1.7333333332207985</v>
      </c>
      <c r="T17" s="37">
        <f ca="1">IF(Table_17891012131114153456789101112131415161745678910111213141516234567891011121314345671534567981011121314153456789101112131415162345678910111213141545678910111213141516234567891023456789111213151610171856789101112131415162345678910113456789101112131417[[#This Row],[Crew]]="","",IF(Table_17891012131114153456789101112131415161745678910111213141516234567891011121314345671534567981011121314153456789101112131415162345678910111213141545678910111213141516234567891023456789111213151610171856789101112131415162345678910113456789101112131417[[#This Row],[RD30]]="","N/Y Ready",IF(Table_17891012131114153456789101112131415161745678910111213141516234567891011121314345671534567981011121314153456789101112131415162345678910111213141545678910111213141516234567891023456789111213151610171856789101112131415162345678910113456789101112131417[[#This Row],[Repair Time2]]="N/Y Ready","N/Y Ready",SUM(Table_17891012131114153456789101112131415161745678910111213141516234567891011121314345671534567981011121314153456789101112131415162345678910111213141545678910111213141516234567891023456789111213151610171856789101112131415162345678910113456789101112131417[[#This Row],[Wait Labour]:[Repair Time2]]))))</f>
        <v>3.1833333332324401</v>
      </c>
    </row>
    <row r="18" spans="2:20" ht="31.5" customHeight="1" x14ac:dyDescent="0.2">
      <c r="B18" s="32"/>
      <c r="C18" s="32"/>
      <c r="D18" s="32"/>
      <c r="E18" s="32"/>
      <c r="F18" s="32"/>
      <c r="G18" s="33"/>
      <c r="H18" s="32"/>
      <c r="I18" s="34"/>
      <c r="J18" s="34"/>
      <c r="K18" s="34"/>
      <c r="L18" s="35"/>
      <c r="M18" s="35"/>
      <c r="N18" s="32"/>
      <c r="O18" s="32"/>
      <c r="P18" s="34"/>
      <c r="Q18" s="36"/>
      <c r="R18" s="37"/>
      <c r="S18" s="37"/>
      <c r="T18" s="37"/>
    </row>
    <row r="19" spans="2:20" ht="31.5" customHeight="1" x14ac:dyDescent="0.2">
      <c r="B19" s="32"/>
      <c r="C19" s="32"/>
      <c r="D19" s="32"/>
      <c r="E19" s="32"/>
      <c r="F19" s="32"/>
      <c r="G19" s="33"/>
      <c r="H19" s="32"/>
      <c r="I19" s="34"/>
      <c r="J19" s="34"/>
      <c r="K19" s="34"/>
      <c r="L19" s="35"/>
      <c r="M19" s="35"/>
      <c r="N19" s="32"/>
      <c r="O19" s="32"/>
      <c r="P19" s="34"/>
      <c r="Q19" s="36"/>
      <c r="R19" s="37"/>
      <c r="S19" s="37"/>
      <c r="T19" s="37"/>
    </row>
    <row r="20" spans="2:20" ht="31.5" customHeight="1" x14ac:dyDescent="0.2">
      <c r="B20" s="32"/>
      <c r="C20" s="32"/>
      <c r="D20" s="32"/>
      <c r="E20" s="32"/>
      <c r="F20" s="32"/>
      <c r="G20" s="33"/>
      <c r="H20" s="32"/>
      <c r="I20" s="34"/>
      <c r="J20" s="34"/>
      <c r="K20" s="34"/>
      <c r="L20" s="35"/>
      <c r="M20" s="35"/>
      <c r="N20" s="32"/>
      <c r="O20" s="32"/>
      <c r="P20" s="34"/>
      <c r="Q20" s="36"/>
      <c r="R20" s="37"/>
      <c r="S20" s="37"/>
      <c r="T20" s="37"/>
    </row>
    <row r="21" spans="2:20" ht="31.5" customHeight="1" x14ac:dyDescent="0.2">
      <c r="B21" s="32"/>
      <c r="C21" s="32"/>
      <c r="D21" s="32"/>
      <c r="E21" s="32"/>
      <c r="F21" s="32"/>
      <c r="G21" s="33"/>
      <c r="H21" s="32"/>
      <c r="I21" s="34"/>
      <c r="J21" s="34"/>
      <c r="K21" s="34"/>
      <c r="L21" s="35"/>
      <c r="M21" s="35"/>
      <c r="N21" s="32"/>
      <c r="O21" s="32"/>
      <c r="P21" s="34"/>
      <c r="Q21" s="36"/>
      <c r="R21" s="37"/>
      <c r="S21" s="37"/>
      <c r="T21" s="37"/>
    </row>
    <row r="22" spans="2:20" ht="31.5" customHeight="1" x14ac:dyDescent="0.2">
      <c r="B22" s="32"/>
      <c r="C22" s="32"/>
      <c r="D22" s="32"/>
      <c r="E22" s="32"/>
      <c r="F22" s="32"/>
      <c r="G22" s="33"/>
      <c r="H22" s="32"/>
      <c r="I22" s="34"/>
      <c r="J22" s="34"/>
      <c r="K22" s="34"/>
      <c r="L22" s="35"/>
      <c r="M22" s="35"/>
      <c r="N22" s="32"/>
      <c r="O22" s="32"/>
      <c r="P22" s="34"/>
      <c r="Q22" s="36"/>
      <c r="R22" s="37"/>
      <c r="S22" s="37"/>
      <c r="T22" s="37"/>
    </row>
    <row r="23" spans="2:20" ht="31.5" customHeight="1" x14ac:dyDescent="0.2">
      <c r="B23" s="32"/>
      <c r="C23" s="32"/>
      <c r="D23" s="32"/>
      <c r="E23" s="32"/>
      <c r="F23" s="32"/>
      <c r="G23" s="33"/>
      <c r="H23" s="32"/>
      <c r="I23" s="34"/>
      <c r="J23" s="34"/>
      <c r="K23" s="34"/>
      <c r="L23" s="35"/>
      <c r="M23" s="35"/>
      <c r="N23" s="32"/>
      <c r="O23" s="32"/>
      <c r="P23" s="34"/>
      <c r="Q23" s="36"/>
      <c r="R23" s="37"/>
      <c r="S23" s="37"/>
      <c r="T23" s="37"/>
    </row>
    <row r="24" spans="2:20" ht="31.5" customHeight="1" x14ac:dyDescent="0.2">
      <c r="B24" s="32"/>
      <c r="C24" s="32"/>
      <c r="D24" s="32" t="str">
        <f>IF($C24="","",IFERROR(INDEX([10]Database!$B$17:$E$115,MATCH($C24,[10]Database!$E$17:$E$115,0),2),"Unit TDK ada di database"))</f>
        <v/>
      </c>
      <c r="E24" s="32" t="str">
        <f>IF($C24="","",IFERROR(INDEX([10]Database!$B$17:$E$115,MATCH($C24,[10]Database!$E$17:$E$115,0),2),"Unit TDK ada di database"))</f>
        <v/>
      </c>
      <c r="F24" s="32"/>
      <c r="G24" s="33"/>
      <c r="H24" s="32" t="str">
        <f t="shared" si="0"/>
        <v>Z</v>
      </c>
      <c r="I24" s="34"/>
      <c r="J24" s="34"/>
      <c r="K24" s="34"/>
      <c r="L24" s="35"/>
      <c r="M24" s="35"/>
      <c r="N24" s="32" t="str">
        <f t="shared" si="1"/>
        <v/>
      </c>
      <c r="O24" s="32"/>
      <c r="P24" s="34"/>
      <c r="Q24" s="36"/>
      <c r="R24" s="37" t="str">
        <f ca="1">IF(Table_17891012131114153456789101112131415161745678910111213141516234567891011121314345671534567981011121314153456789101112131415162345678910111213141545678910111213141516234567891023456789111213151610171856789101112131415162345678910113456789101112131417[[#This Row],[Waiting Labour]]="","",IF(Table_17891012131114153456789101112131415161745678910111213141516234567891011121314345671534567981011121314153456789101112131415162345678910111213141545678910111213141516234567891023456789111213151610171856789101112131415162345678910113456789101112131417[[#This Row],[Repair Time]]="",(NOW()-Table_17891012131114153456789101112131415161745678910111213141516234567891011121314345671534567981011121314153456789101112131415162345678910111213141545678910111213141516234567891023456789111213151610171856789101112131415162345678910113456789101112131417[[#This Row],[Waiting Labour]])*24,(Table_17891012131114153456789101112131415161745678910111213141516234567891011121314345671534567981011121314153456789101112131415162345678910111213141545678910111213141516234567891023456789111213151610171856789101112131415162345678910113456789101112131417[[#This Row],[Repair Time]]-Table_17891012131114153456789101112131415161745678910111213141516234567891011121314345671534567981011121314153456789101112131415162345678910111213141545678910111213141516234567891023456789111213151610171856789101112131415162345678910113456789101112131417[[#This Row],[Waiting Labour]])*24))</f>
        <v/>
      </c>
      <c r="S24" s="37" t="str">
        <f ca="1">IF(Table_17891012131114153456789101112131415161745678910111213141516234567891011121314345671534567981011121314153456789101112131415162345678910111213141545678910111213141516234567891023456789111213151610171856789101112131415162345678910113456789101112131417[[#This Row],[Wait Labour]]="","",IF(Table_17891012131114153456789101112131415161745678910111213141516234567891011121314345671534567981011121314153456789101112131415162345678910111213141545678910111213141516234567891023456789111213151610171856789101112131415162345678910113456789101112131417[[#This Row],[RD30]]="",(NOW()-Table_17891012131114153456789101112131415161745678910111213141516234567891011121314345671534567981011121314153456789101112131415162345678910111213141545678910111213141516234567891023456789111213151610171856789101112131415162345678910113456789101112131417[[#This Row],[Repair Time]])*24,(Table_17891012131114153456789101112131415161745678910111213141516234567891011121314345671534567981011121314153456789101112131415162345678910111213141545678910111213141516234567891023456789111213151610171856789101112131415162345678910113456789101112131417[[#This Row],[RD30]]-Table_17891012131114153456789101112131415161745678910111213141516234567891011121314345671534567981011121314153456789101112131415162345678910111213141545678910111213141516234567891023456789111213151610171856789101112131415162345678910113456789101112131417[[#This Row],[Repair Time]])*24))</f>
        <v/>
      </c>
      <c r="T24" s="37" t="str">
        <f>IF(Table_17891012131114153456789101112131415161745678910111213141516234567891011121314345671534567981011121314153456789101112131415162345678910111213141545678910111213141516234567891023456789111213151610171856789101112131415162345678910113456789101112131417[[#This Row],[Crew]]="","",IF(Table_17891012131114153456789101112131415161745678910111213141516234567891011121314345671534567981011121314153456789101112131415162345678910111213141545678910111213141516234567891023456789111213151610171856789101112131415162345678910113456789101112131417[[#This Row],[RD30]]="","N/Y Ready",IF(Table_17891012131114153456789101112131415161745678910111213141516234567891011121314345671534567981011121314153456789101112131415162345678910111213141545678910111213141516234567891023456789111213151610171856789101112131415162345678910113456789101112131417[[#This Row],[Repair Time2]]="N/Y Ready","N/Y Ready",SUM(Table_17891012131114153456789101112131415161745678910111213141516234567891011121314345671534567981011121314153456789101112131415162345678910111213141545678910111213141516234567891023456789111213151610171856789101112131415162345678910113456789101112131417[[#This Row],[Wait Labour]:[Repair Time2]]))))</f>
        <v/>
      </c>
    </row>
    <row r="25" spans="2:20" ht="31.5" customHeight="1" x14ac:dyDescent="0.2">
      <c r="B25" s="32"/>
      <c r="C25" s="32"/>
      <c r="D25" s="32" t="str">
        <f>IF($C25="","",IFERROR(INDEX([10]Database!$B$17:$E$115,MATCH($C25,[10]Database!$E$17:$E$115,0),2),"Unit TDK ada di database"))</f>
        <v/>
      </c>
      <c r="E25" s="32" t="str">
        <f>IF($C25="","",IFERROR(INDEX([10]Database!$B$17:$E$115,MATCH($C25,[10]Database!$E$17:$E$115,0),2),"Unit TDK ada di database"))</f>
        <v/>
      </c>
      <c r="F25" s="32"/>
      <c r="G25" s="33"/>
      <c r="H25" s="32" t="str">
        <f t="shared" si="0"/>
        <v>Z</v>
      </c>
      <c r="I25" s="34"/>
      <c r="J25" s="34"/>
      <c r="K25" s="34"/>
      <c r="L25" s="35"/>
      <c r="M25" s="35"/>
      <c r="N25" s="32" t="str">
        <f t="shared" si="1"/>
        <v/>
      </c>
      <c r="O25" s="32"/>
      <c r="P25" s="34"/>
      <c r="Q25" s="36"/>
      <c r="R25" s="37" t="str">
        <f ca="1">IF(Table_17891012131114153456789101112131415161745678910111213141516234567891011121314345671534567981011121314153456789101112131415162345678910111213141545678910111213141516234567891023456789111213151610171856789101112131415162345678910113456789101112131417[[#This Row],[Waiting Labour]]="","",IF(Table_17891012131114153456789101112131415161745678910111213141516234567891011121314345671534567981011121314153456789101112131415162345678910111213141545678910111213141516234567891023456789111213151610171856789101112131415162345678910113456789101112131417[[#This Row],[Repair Time]]="",(NOW()-Table_17891012131114153456789101112131415161745678910111213141516234567891011121314345671534567981011121314153456789101112131415162345678910111213141545678910111213141516234567891023456789111213151610171856789101112131415162345678910113456789101112131417[[#This Row],[Waiting Labour]])*24,(Table_17891012131114153456789101112131415161745678910111213141516234567891011121314345671534567981011121314153456789101112131415162345678910111213141545678910111213141516234567891023456789111213151610171856789101112131415162345678910113456789101112131417[[#This Row],[Repair Time]]-Table_17891012131114153456789101112131415161745678910111213141516234567891011121314345671534567981011121314153456789101112131415162345678910111213141545678910111213141516234567891023456789111213151610171856789101112131415162345678910113456789101112131417[[#This Row],[Waiting Labour]])*24))</f>
        <v/>
      </c>
      <c r="S25" s="37" t="str">
        <f ca="1">IF(Table_17891012131114153456789101112131415161745678910111213141516234567891011121314345671534567981011121314153456789101112131415162345678910111213141545678910111213141516234567891023456789111213151610171856789101112131415162345678910113456789101112131417[[#This Row],[Wait Labour]]="","",IF(Table_17891012131114153456789101112131415161745678910111213141516234567891011121314345671534567981011121314153456789101112131415162345678910111213141545678910111213141516234567891023456789111213151610171856789101112131415162345678910113456789101112131417[[#This Row],[RD30]]="",(NOW()-Table_17891012131114153456789101112131415161745678910111213141516234567891011121314345671534567981011121314153456789101112131415162345678910111213141545678910111213141516234567891023456789111213151610171856789101112131415162345678910113456789101112131417[[#This Row],[Repair Time]])*24,(Table_17891012131114153456789101112131415161745678910111213141516234567891011121314345671534567981011121314153456789101112131415162345678910111213141545678910111213141516234567891023456789111213151610171856789101112131415162345678910113456789101112131417[[#This Row],[RD30]]-Table_17891012131114153456789101112131415161745678910111213141516234567891011121314345671534567981011121314153456789101112131415162345678910111213141545678910111213141516234567891023456789111213151610171856789101112131415162345678910113456789101112131417[[#This Row],[Repair Time]])*24))</f>
        <v/>
      </c>
      <c r="T25" s="37" t="str">
        <f>IF(Table_17891012131114153456789101112131415161745678910111213141516234567891011121314345671534567981011121314153456789101112131415162345678910111213141545678910111213141516234567891023456789111213151610171856789101112131415162345678910113456789101112131417[[#This Row],[Crew]]="","",IF(Table_17891012131114153456789101112131415161745678910111213141516234567891011121314345671534567981011121314153456789101112131415162345678910111213141545678910111213141516234567891023456789111213151610171856789101112131415162345678910113456789101112131417[[#This Row],[RD30]]="","N/Y Ready",IF(Table_17891012131114153456789101112131415161745678910111213141516234567891011121314345671534567981011121314153456789101112131415162345678910111213141545678910111213141516234567891023456789111213151610171856789101112131415162345678910113456789101112131417[[#This Row],[Repair Time2]]="N/Y Ready","N/Y Ready",SUM(Table_17891012131114153456789101112131415161745678910111213141516234567891011121314345671534567981011121314153456789101112131415162345678910111213141545678910111213141516234567891023456789111213151610171856789101112131415162345678910113456789101112131417[[#This Row],[Wait Labour]:[Repair Time2]]))))</f>
        <v/>
      </c>
    </row>
    <row r="26" spans="2:20" ht="31.5" customHeight="1" x14ac:dyDescent="0.2">
      <c r="B26" s="32"/>
      <c r="C26" s="32"/>
      <c r="D26" s="32" t="str">
        <f>IF($C26="","",IFERROR(INDEX([10]Database!$B$17:$E$115,MATCH($C26,[10]Database!$E$17:$E$115,0),2),"Unit TDK ada di database"))</f>
        <v/>
      </c>
      <c r="E26" s="32" t="str">
        <f>IF($C26="","",IFERROR(INDEX([10]Database!$B$17:$E$115,MATCH($C26,[10]Database!$E$17:$E$115,0),2),"Unit TDK ada di database"))</f>
        <v/>
      </c>
      <c r="F26" s="32"/>
      <c r="G26" s="33"/>
      <c r="H26" s="32" t="str">
        <f t="shared" si="0"/>
        <v>Z</v>
      </c>
      <c r="I26" s="34"/>
      <c r="J26" s="34"/>
      <c r="K26" s="34"/>
      <c r="L26" s="35"/>
      <c r="M26" s="35"/>
      <c r="N26" s="32" t="str">
        <f t="shared" si="1"/>
        <v/>
      </c>
      <c r="O26" s="32"/>
      <c r="P26" s="34"/>
      <c r="Q26" s="36"/>
      <c r="R26" s="37" t="str">
        <f ca="1">IF(Table_17891012131114153456789101112131415161745678910111213141516234567891011121314345671534567981011121314153456789101112131415162345678910111213141545678910111213141516234567891023456789111213151610171856789101112131415162345678910113456789101112131417[[#This Row],[Waiting Labour]]="","",IF(Table_17891012131114153456789101112131415161745678910111213141516234567891011121314345671534567981011121314153456789101112131415162345678910111213141545678910111213141516234567891023456789111213151610171856789101112131415162345678910113456789101112131417[[#This Row],[Repair Time]]="",(NOW()-Table_17891012131114153456789101112131415161745678910111213141516234567891011121314345671534567981011121314153456789101112131415162345678910111213141545678910111213141516234567891023456789111213151610171856789101112131415162345678910113456789101112131417[[#This Row],[Waiting Labour]])*24,(Table_17891012131114153456789101112131415161745678910111213141516234567891011121314345671534567981011121314153456789101112131415162345678910111213141545678910111213141516234567891023456789111213151610171856789101112131415162345678910113456789101112131417[[#This Row],[Repair Time]]-Table_17891012131114153456789101112131415161745678910111213141516234567891011121314345671534567981011121314153456789101112131415162345678910111213141545678910111213141516234567891023456789111213151610171856789101112131415162345678910113456789101112131417[[#This Row],[Waiting Labour]])*24))</f>
        <v/>
      </c>
      <c r="S26" s="37" t="str">
        <f ca="1">IF(Table_17891012131114153456789101112131415161745678910111213141516234567891011121314345671534567981011121314153456789101112131415162345678910111213141545678910111213141516234567891023456789111213151610171856789101112131415162345678910113456789101112131417[[#This Row],[Wait Labour]]="","",IF(Table_17891012131114153456789101112131415161745678910111213141516234567891011121314345671534567981011121314153456789101112131415162345678910111213141545678910111213141516234567891023456789111213151610171856789101112131415162345678910113456789101112131417[[#This Row],[RD30]]="",(NOW()-Table_17891012131114153456789101112131415161745678910111213141516234567891011121314345671534567981011121314153456789101112131415162345678910111213141545678910111213141516234567891023456789111213151610171856789101112131415162345678910113456789101112131417[[#This Row],[Repair Time]])*24,(Table_17891012131114153456789101112131415161745678910111213141516234567891011121314345671534567981011121314153456789101112131415162345678910111213141545678910111213141516234567891023456789111213151610171856789101112131415162345678910113456789101112131417[[#This Row],[RD30]]-Table_17891012131114153456789101112131415161745678910111213141516234567891011121314345671534567981011121314153456789101112131415162345678910111213141545678910111213141516234567891023456789111213151610171856789101112131415162345678910113456789101112131417[[#This Row],[Repair Time]])*24))</f>
        <v/>
      </c>
      <c r="T26" s="37" t="str">
        <f>IF(Table_17891012131114153456789101112131415161745678910111213141516234567891011121314345671534567981011121314153456789101112131415162345678910111213141545678910111213141516234567891023456789111213151610171856789101112131415162345678910113456789101112131417[[#This Row],[Crew]]="","",IF(Table_17891012131114153456789101112131415161745678910111213141516234567891011121314345671534567981011121314153456789101112131415162345678910111213141545678910111213141516234567891023456789111213151610171856789101112131415162345678910113456789101112131417[[#This Row],[RD30]]="","N/Y Ready",IF(Table_17891012131114153456789101112131415161745678910111213141516234567891011121314345671534567981011121314153456789101112131415162345678910111213141545678910111213141516234567891023456789111213151610171856789101112131415162345678910113456789101112131417[[#This Row],[Repair Time2]]="N/Y Ready","N/Y Ready",SUM(Table_17891012131114153456789101112131415161745678910111213141516234567891011121314345671534567981011121314153456789101112131415162345678910111213141545678910111213141516234567891023456789111213151610171856789101112131415162345678910113456789101112131417[[#This Row],[Wait Labour]:[Repair Time2]]))))</f>
        <v/>
      </c>
    </row>
    <row r="27" spans="2:20" ht="31.5" customHeight="1" x14ac:dyDescent="0.2">
      <c r="B27" s="32"/>
      <c r="C27" s="32"/>
      <c r="D27" s="32" t="str">
        <f>IF($C27="","",IFERROR(INDEX([10]Database!$B$17:$E$115,MATCH($C27,[10]Database!$E$17:$E$115,0),2),"Unit TDK ada di database"))</f>
        <v/>
      </c>
      <c r="E27" s="32" t="str">
        <f>IF($C27="","",IFERROR(INDEX([10]Database!$B$17:$E$115,MATCH($C27,[10]Database!$E$17:$E$115,0),2),"Unit TDK ada di database"))</f>
        <v/>
      </c>
      <c r="F27" s="32"/>
      <c r="G27" s="33"/>
      <c r="H27" s="32" t="str">
        <f t="shared" si="0"/>
        <v>Z</v>
      </c>
      <c r="I27" s="34"/>
      <c r="J27" s="34"/>
      <c r="K27" s="34"/>
      <c r="L27" s="35"/>
      <c r="M27" s="35"/>
      <c r="N27" s="32" t="str">
        <f t="shared" si="1"/>
        <v/>
      </c>
      <c r="O27" s="32"/>
      <c r="P27" s="34"/>
      <c r="Q27" s="36"/>
      <c r="R27" s="37" t="str">
        <f ca="1">IF(Table_17891012131114153456789101112131415161745678910111213141516234567891011121314345671534567981011121314153456789101112131415162345678910111213141545678910111213141516234567891023456789111213151610171856789101112131415162345678910113456789101112131417[[#This Row],[Waiting Labour]]="","",IF(Table_17891012131114153456789101112131415161745678910111213141516234567891011121314345671534567981011121314153456789101112131415162345678910111213141545678910111213141516234567891023456789111213151610171856789101112131415162345678910113456789101112131417[[#This Row],[Repair Time]]="",(NOW()-Table_17891012131114153456789101112131415161745678910111213141516234567891011121314345671534567981011121314153456789101112131415162345678910111213141545678910111213141516234567891023456789111213151610171856789101112131415162345678910113456789101112131417[[#This Row],[Waiting Labour]])*24,(Table_17891012131114153456789101112131415161745678910111213141516234567891011121314345671534567981011121314153456789101112131415162345678910111213141545678910111213141516234567891023456789111213151610171856789101112131415162345678910113456789101112131417[[#This Row],[Repair Time]]-Table_17891012131114153456789101112131415161745678910111213141516234567891011121314345671534567981011121314153456789101112131415162345678910111213141545678910111213141516234567891023456789111213151610171856789101112131415162345678910113456789101112131417[[#This Row],[Waiting Labour]])*24))</f>
        <v/>
      </c>
      <c r="S27" s="37" t="str">
        <f ca="1">IF(Table_17891012131114153456789101112131415161745678910111213141516234567891011121314345671534567981011121314153456789101112131415162345678910111213141545678910111213141516234567891023456789111213151610171856789101112131415162345678910113456789101112131417[[#This Row],[Wait Labour]]="","",IF(Table_17891012131114153456789101112131415161745678910111213141516234567891011121314345671534567981011121314153456789101112131415162345678910111213141545678910111213141516234567891023456789111213151610171856789101112131415162345678910113456789101112131417[[#This Row],[RD30]]="",(NOW()-Table_17891012131114153456789101112131415161745678910111213141516234567891011121314345671534567981011121314153456789101112131415162345678910111213141545678910111213141516234567891023456789111213151610171856789101112131415162345678910113456789101112131417[[#This Row],[Repair Time]])*24,(Table_17891012131114153456789101112131415161745678910111213141516234567891011121314345671534567981011121314153456789101112131415162345678910111213141545678910111213141516234567891023456789111213151610171856789101112131415162345678910113456789101112131417[[#This Row],[RD30]]-Table_17891012131114153456789101112131415161745678910111213141516234567891011121314345671534567981011121314153456789101112131415162345678910111213141545678910111213141516234567891023456789111213151610171856789101112131415162345678910113456789101112131417[[#This Row],[Repair Time]])*24))</f>
        <v/>
      </c>
      <c r="T27" s="37" t="str">
        <f>IF(Table_17891012131114153456789101112131415161745678910111213141516234567891011121314345671534567981011121314153456789101112131415162345678910111213141545678910111213141516234567891023456789111213151610171856789101112131415162345678910113456789101112131417[[#This Row],[Crew]]="","",IF(Table_17891012131114153456789101112131415161745678910111213141516234567891011121314345671534567981011121314153456789101112131415162345678910111213141545678910111213141516234567891023456789111213151610171856789101112131415162345678910113456789101112131417[[#This Row],[RD30]]="","N/Y Ready",IF(Table_17891012131114153456789101112131415161745678910111213141516234567891011121314345671534567981011121314153456789101112131415162345678910111213141545678910111213141516234567891023456789111213151610171856789101112131415162345678910113456789101112131417[[#This Row],[Repair Time2]]="N/Y Ready","N/Y Ready",SUM(Table_17891012131114153456789101112131415161745678910111213141516234567891011121314345671534567981011121314153456789101112131415162345678910111213141545678910111213141516234567891023456789111213151610171856789101112131415162345678910113456789101112131417[[#This Row],[Wait Labour]:[Repair Time2]]))))</f>
        <v/>
      </c>
    </row>
    <row r="28" spans="2:20" ht="31.5" customHeight="1" x14ac:dyDescent="0.2">
      <c r="B28" s="32"/>
      <c r="C28" s="32"/>
      <c r="D28" s="32" t="str">
        <f>IF($C28="","",IFERROR(INDEX([10]Database!$B$17:$E$115,MATCH($C28,[10]Database!$E$17:$E$115,0),2),"Unit TDK ada di database"))</f>
        <v/>
      </c>
      <c r="E28" s="32" t="str">
        <f>IF($C28="","",IFERROR(INDEX([10]Database!$B$17:$E$115,MATCH($C28,[10]Database!$E$17:$E$115,0),2),"Unit TDK ada di database"))</f>
        <v/>
      </c>
      <c r="F28" s="32"/>
      <c r="G28" s="33"/>
      <c r="H28" s="32" t="str">
        <f t="shared" si="0"/>
        <v>Z</v>
      </c>
      <c r="I28" s="34"/>
      <c r="J28" s="34"/>
      <c r="K28" s="34"/>
      <c r="L28" s="35"/>
      <c r="M28" s="35"/>
      <c r="N28" s="32" t="str">
        <f t="shared" si="1"/>
        <v/>
      </c>
      <c r="O28" s="32"/>
      <c r="P28" s="34"/>
      <c r="Q28" s="36"/>
      <c r="R28" s="37" t="str">
        <f ca="1">IF(Table_17891012131114153456789101112131415161745678910111213141516234567891011121314345671534567981011121314153456789101112131415162345678910111213141545678910111213141516234567891023456789111213151610171856789101112131415162345678910113456789101112131417[[#This Row],[Waiting Labour]]="","",IF(Table_17891012131114153456789101112131415161745678910111213141516234567891011121314345671534567981011121314153456789101112131415162345678910111213141545678910111213141516234567891023456789111213151610171856789101112131415162345678910113456789101112131417[[#This Row],[Repair Time]]="",(NOW()-Table_17891012131114153456789101112131415161745678910111213141516234567891011121314345671534567981011121314153456789101112131415162345678910111213141545678910111213141516234567891023456789111213151610171856789101112131415162345678910113456789101112131417[[#This Row],[Waiting Labour]])*24,(Table_17891012131114153456789101112131415161745678910111213141516234567891011121314345671534567981011121314153456789101112131415162345678910111213141545678910111213141516234567891023456789111213151610171856789101112131415162345678910113456789101112131417[[#This Row],[Repair Time]]-Table_17891012131114153456789101112131415161745678910111213141516234567891011121314345671534567981011121314153456789101112131415162345678910111213141545678910111213141516234567891023456789111213151610171856789101112131415162345678910113456789101112131417[[#This Row],[Waiting Labour]])*24))</f>
        <v/>
      </c>
      <c r="S28" s="37" t="str">
        <f ca="1">IF(Table_17891012131114153456789101112131415161745678910111213141516234567891011121314345671534567981011121314153456789101112131415162345678910111213141545678910111213141516234567891023456789111213151610171856789101112131415162345678910113456789101112131417[[#This Row],[Wait Labour]]="","",IF(Table_17891012131114153456789101112131415161745678910111213141516234567891011121314345671534567981011121314153456789101112131415162345678910111213141545678910111213141516234567891023456789111213151610171856789101112131415162345678910113456789101112131417[[#This Row],[RD30]]="",(NOW()-Table_17891012131114153456789101112131415161745678910111213141516234567891011121314345671534567981011121314153456789101112131415162345678910111213141545678910111213141516234567891023456789111213151610171856789101112131415162345678910113456789101112131417[[#This Row],[Repair Time]])*24,(Table_17891012131114153456789101112131415161745678910111213141516234567891011121314345671534567981011121314153456789101112131415162345678910111213141545678910111213141516234567891023456789111213151610171856789101112131415162345678910113456789101112131417[[#This Row],[RD30]]-Table_17891012131114153456789101112131415161745678910111213141516234567891011121314345671534567981011121314153456789101112131415162345678910111213141545678910111213141516234567891023456789111213151610171856789101112131415162345678910113456789101112131417[[#This Row],[Repair Time]])*24))</f>
        <v/>
      </c>
      <c r="T28" s="37" t="str">
        <f>IF(Table_17891012131114153456789101112131415161745678910111213141516234567891011121314345671534567981011121314153456789101112131415162345678910111213141545678910111213141516234567891023456789111213151610171856789101112131415162345678910113456789101112131417[[#This Row],[Crew]]="","",IF(Table_17891012131114153456789101112131415161745678910111213141516234567891011121314345671534567981011121314153456789101112131415162345678910111213141545678910111213141516234567891023456789111213151610171856789101112131415162345678910113456789101112131417[[#This Row],[RD30]]="","N/Y Ready",IF(Table_17891012131114153456789101112131415161745678910111213141516234567891011121314345671534567981011121314153456789101112131415162345678910111213141545678910111213141516234567891023456789111213151610171856789101112131415162345678910113456789101112131417[[#This Row],[Repair Time2]]="N/Y Ready","N/Y Ready",SUM(Table_17891012131114153456789101112131415161745678910111213141516234567891011121314345671534567981011121314153456789101112131415162345678910111213141545678910111213141516234567891023456789111213151610171856789101112131415162345678910113456789101112131417[[#This Row],[Wait Labour]:[Repair Time2]]))))</f>
        <v/>
      </c>
    </row>
    <row r="29" spans="2:20" ht="31.5" customHeight="1" x14ac:dyDescent="0.2">
      <c r="B29" s="32"/>
      <c r="C29" s="32"/>
      <c r="D29" s="32" t="str">
        <f>IF($C29="","",IFERROR(INDEX([10]Database!$B$17:$E$115,MATCH($C29,[10]Database!$E$17:$E$115,0),2),"Unit TDK ada di database"))</f>
        <v/>
      </c>
      <c r="E29" s="32" t="str">
        <f>IF($C29="","",IFERROR(INDEX([10]Database!$B$17:$E$115,MATCH($C29,[10]Database!$E$17:$E$115,0),2),"Unit TDK ada di database"))</f>
        <v/>
      </c>
      <c r="F29" s="32"/>
      <c r="G29" s="33"/>
      <c r="H29" s="32" t="str">
        <f t="shared" si="0"/>
        <v>Z</v>
      </c>
      <c r="I29" s="34"/>
      <c r="J29" s="34"/>
      <c r="K29" s="34"/>
      <c r="L29" s="35"/>
      <c r="M29" s="35"/>
      <c r="N29" s="32" t="str">
        <f t="shared" si="1"/>
        <v/>
      </c>
      <c r="O29" s="32"/>
      <c r="P29" s="34"/>
      <c r="Q29" s="36"/>
      <c r="R29" s="37" t="str">
        <f ca="1">IF(Table_17891012131114153456789101112131415161745678910111213141516234567891011121314345671534567981011121314153456789101112131415162345678910111213141545678910111213141516234567891023456789111213151610171856789101112131415162345678910113456789101112131417[[#This Row],[Waiting Labour]]="","",IF(Table_17891012131114153456789101112131415161745678910111213141516234567891011121314345671534567981011121314153456789101112131415162345678910111213141545678910111213141516234567891023456789111213151610171856789101112131415162345678910113456789101112131417[[#This Row],[Repair Time]]="",(NOW()-Table_17891012131114153456789101112131415161745678910111213141516234567891011121314345671534567981011121314153456789101112131415162345678910111213141545678910111213141516234567891023456789111213151610171856789101112131415162345678910113456789101112131417[[#This Row],[Waiting Labour]])*24,(Table_17891012131114153456789101112131415161745678910111213141516234567891011121314345671534567981011121314153456789101112131415162345678910111213141545678910111213141516234567891023456789111213151610171856789101112131415162345678910113456789101112131417[[#This Row],[Repair Time]]-Table_17891012131114153456789101112131415161745678910111213141516234567891011121314345671534567981011121314153456789101112131415162345678910111213141545678910111213141516234567891023456789111213151610171856789101112131415162345678910113456789101112131417[[#This Row],[Waiting Labour]])*24))</f>
        <v/>
      </c>
      <c r="S29" s="37" t="str">
        <f ca="1">IF(Table_17891012131114153456789101112131415161745678910111213141516234567891011121314345671534567981011121314153456789101112131415162345678910111213141545678910111213141516234567891023456789111213151610171856789101112131415162345678910113456789101112131417[[#This Row],[Wait Labour]]="","",IF(Table_17891012131114153456789101112131415161745678910111213141516234567891011121314345671534567981011121314153456789101112131415162345678910111213141545678910111213141516234567891023456789111213151610171856789101112131415162345678910113456789101112131417[[#This Row],[RD30]]="",(NOW()-Table_17891012131114153456789101112131415161745678910111213141516234567891011121314345671534567981011121314153456789101112131415162345678910111213141545678910111213141516234567891023456789111213151610171856789101112131415162345678910113456789101112131417[[#This Row],[Repair Time]])*24,(Table_17891012131114153456789101112131415161745678910111213141516234567891011121314345671534567981011121314153456789101112131415162345678910111213141545678910111213141516234567891023456789111213151610171856789101112131415162345678910113456789101112131417[[#This Row],[RD30]]-Table_17891012131114153456789101112131415161745678910111213141516234567891011121314345671534567981011121314153456789101112131415162345678910111213141545678910111213141516234567891023456789111213151610171856789101112131415162345678910113456789101112131417[[#This Row],[Repair Time]])*24))</f>
        <v/>
      </c>
      <c r="T29" s="37" t="str">
        <f>IF(Table_17891012131114153456789101112131415161745678910111213141516234567891011121314345671534567981011121314153456789101112131415162345678910111213141545678910111213141516234567891023456789111213151610171856789101112131415162345678910113456789101112131417[[#This Row],[Crew]]="","",IF(Table_17891012131114153456789101112131415161745678910111213141516234567891011121314345671534567981011121314153456789101112131415162345678910111213141545678910111213141516234567891023456789111213151610171856789101112131415162345678910113456789101112131417[[#This Row],[RD30]]="","N/Y Ready",IF(Table_17891012131114153456789101112131415161745678910111213141516234567891011121314345671534567981011121314153456789101112131415162345678910111213141545678910111213141516234567891023456789111213151610171856789101112131415162345678910113456789101112131417[[#This Row],[Repair Time2]]="N/Y Ready","N/Y Ready",SUM(Table_17891012131114153456789101112131415161745678910111213141516234567891011121314345671534567981011121314153456789101112131415162345678910111213141545678910111213141516234567891023456789111213151610171856789101112131415162345678910113456789101112131417[[#This Row],[Wait Labour]:[Repair Time2]]))))</f>
        <v/>
      </c>
    </row>
    <row r="30" spans="2:20" ht="31.5" customHeight="1" x14ac:dyDescent="0.2">
      <c r="B30" s="32"/>
      <c r="C30" s="32"/>
      <c r="D30" s="32" t="str">
        <f>IF($C30="","",IFERROR(INDEX([10]Database!$B$17:$E$115,MATCH($C30,[10]Database!$E$17:$E$115,0),2),"Unit TDK ada di database"))</f>
        <v/>
      </c>
      <c r="E30" s="32" t="str">
        <f>IF($C30="","",IFERROR(INDEX([10]Database!$B$17:$E$115,MATCH($C30,[10]Database!$E$17:$E$115,0),2),"Unit TDK ada di database"))</f>
        <v/>
      </c>
      <c r="F30" s="32"/>
      <c r="G30" s="33"/>
      <c r="H30" s="32" t="str">
        <f t="shared" si="0"/>
        <v>Z</v>
      </c>
      <c r="I30" s="34"/>
      <c r="J30" s="34"/>
      <c r="K30" s="34"/>
      <c r="L30" s="35"/>
      <c r="M30" s="35"/>
      <c r="N30" s="32" t="str">
        <f t="shared" si="1"/>
        <v/>
      </c>
      <c r="O30" s="32"/>
      <c r="P30" s="34"/>
      <c r="Q30" s="36"/>
      <c r="R30" s="37" t="str">
        <f ca="1">IF(Table_17891012131114153456789101112131415161745678910111213141516234567891011121314345671534567981011121314153456789101112131415162345678910111213141545678910111213141516234567891023456789111213151610171856789101112131415162345678910113456789101112131417[[#This Row],[Waiting Labour]]="","",IF(Table_17891012131114153456789101112131415161745678910111213141516234567891011121314345671534567981011121314153456789101112131415162345678910111213141545678910111213141516234567891023456789111213151610171856789101112131415162345678910113456789101112131417[[#This Row],[Repair Time]]="",(NOW()-Table_17891012131114153456789101112131415161745678910111213141516234567891011121314345671534567981011121314153456789101112131415162345678910111213141545678910111213141516234567891023456789111213151610171856789101112131415162345678910113456789101112131417[[#This Row],[Waiting Labour]])*24,(Table_17891012131114153456789101112131415161745678910111213141516234567891011121314345671534567981011121314153456789101112131415162345678910111213141545678910111213141516234567891023456789111213151610171856789101112131415162345678910113456789101112131417[[#This Row],[Repair Time]]-Table_17891012131114153456789101112131415161745678910111213141516234567891011121314345671534567981011121314153456789101112131415162345678910111213141545678910111213141516234567891023456789111213151610171856789101112131415162345678910113456789101112131417[[#This Row],[Waiting Labour]])*24))</f>
        <v/>
      </c>
      <c r="S30" s="37" t="str">
        <f ca="1">IF(Table_17891012131114153456789101112131415161745678910111213141516234567891011121314345671534567981011121314153456789101112131415162345678910111213141545678910111213141516234567891023456789111213151610171856789101112131415162345678910113456789101112131417[[#This Row],[Wait Labour]]="","",IF(Table_17891012131114153456789101112131415161745678910111213141516234567891011121314345671534567981011121314153456789101112131415162345678910111213141545678910111213141516234567891023456789111213151610171856789101112131415162345678910113456789101112131417[[#This Row],[RD30]]="",(NOW()-Table_17891012131114153456789101112131415161745678910111213141516234567891011121314345671534567981011121314153456789101112131415162345678910111213141545678910111213141516234567891023456789111213151610171856789101112131415162345678910113456789101112131417[[#This Row],[Repair Time]])*24,(Table_17891012131114153456789101112131415161745678910111213141516234567891011121314345671534567981011121314153456789101112131415162345678910111213141545678910111213141516234567891023456789111213151610171856789101112131415162345678910113456789101112131417[[#This Row],[RD30]]-Table_17891012131114153456789101112131415161745678910111213141516234567891011121314345671534567981011121314153456789101112131415162345678910111213141545678910111213141516234567891023456789111213151610171856789101112131415162345678910113456789101112131417[[#This Row],[Repair Time]])*24))</f>
        <v/>
      </c>
      <c r="T30" s="37" t="str">
        <f>IF(Table_17891012131114153456789101112131415161745678910111213141516234567891011121314345671534567981011121314153456789101112131415162345678910111213141545678910111213141516234567891023456789111213151610171856789101112131415162345678910113456789101112131417[[#This Row],[Crew]]="","",IF(Table_17891012131114153456789101112131415161745678910111213141516234567891011121314345671534567981011121314153456789101112131415162345678910111213141545678910111213141516234567891023456789111213151610171856789101112131415162345678910113456789101112131417[[#This Row],[RD30]]="","N/Y Ready",IF(Table_17891012131114153456789101112131415161745678910111213141516234567891011121314345671534567981011121314153456789101112131415162345678910111213141545678910111213141516234567891023456789111213151610171856789101112131415162345678910113456789101112131417[[#This Row],[Repair Time2]]="N/Y Ready","N/Y Ready",SUM(Table_17891012131114153456789101112131415161745678910111213141516234567891011121314345671534567981011121314153456789101112131415162345678910111213141545678910111213141516234567891023456789111213151610171856789101112131415162345678910113456789101112131417[[#This Row],[Wait Labour]:[Repair Time2]]))))</f>
        <v/>
      </c>
    </row>
    <row r="31" spans="2:20" x14ac:dyDescent="0.2">
      <c r="B31" s="44"/>
      <c r="C31" s="44"/>
      <c r="D31" s="45" t="str">
        <f>IF($C31="","",IFERROR(INDEX([10]Database!$B$17:$E$115,MATCH($C31,[10]Database!$E$17:$E$115,0),2),"Unit TDK ada di database"))</f>
        <v/>
      </c>
      <c r="E31" s="44" t="str">
        <f>IF($C31="","",IFERROR(INDEX([10]Database!$B$17:$E$115,MATCH($C31,[10]Database!$E$17:$E$115,0),2),"Unit TDK ada di database"))</f>
        <v/>
      </c>
      <c r="F31" s="44"/>
      <c r="G31" s="46"/>
      <c r="H31" s="44" t="str">
        <f>IF($C31="","Z",IF($J31&amp;$K31="","WL",IF($K31="","RT","RD30")))</f>
        <v>Z</v>
      </c>
      <c r="I31" s="47"/>
      <c r="J31" s="47"/>
      <c r="K31" s="47"/>
      <c r="L31" s="48"/>
      <c r="M31" s="48"/>
      <c r="N31" s="49" t="str">
        <f>IFERROR(IF($M31="","",IF($L31="","Isi dulu HM awal.",IF($M31&lt;$L31,"HM M10RD&gt;Down ?.",$M31-$L31))),"Pakai KOMA bukan titik.")</f>
        <v/>
      </c>
      <c r="O31" s="50"/>
      <c r="P31" s="51"/>
      <c r="Q31" s="52"/>
      <c r="R31" s="53" t="str">
        <f ca="1">IF(Table_17891012131114153456789101112131415161745678910111213141516234567891011121314345671534567981011121314153456789101112131415162345678910111213141545678910111213141516234567891023456789111213151610171856789101112131415162345678910113456789101112131417[[#This Row],[Waiting Labour]]="","",IF(Table_17891012131114153456789101112131415161745678910111213141516234567891011121314345671534567981011121314153456789101112131415162345678910111213141545678910111213141516234567891023456789111213151610171856789101112131415162345678910113456789101112131417[[#This Row],[Repair Time]]="",(NOW()-Table_17891012131114153456789101112131415161745678910111213141516234567891011121314345671534567981011121314153456789101112131415162345678910111213141545678910111213141516234567891023456789111213151610171856789101112131415162345678910113456789101112131417[[#This Row],[Waiting Labour]])*24,(Table_17891012131114153456789101112131415161745678910111213141516234567891011121314345671534567981011121314153456789101112131415162345678910111213141545678910111213141516234567891023456789111213151610171856789101112131415162345678910113456789101112131417[[#This Row],[Repair Time]]-Table_17891012131114153456789101112131415161745678910111213141516234567891011121314345671534567981011121314153456789101112131415162345678910111213141545678910111213141516234567891023456789111213151610171856789101112131415162345678910113456789101112131417[[#This Row],[Waiting Labour]])*24))</f>
        <v/>
      </c>
      <c r="S31" s="53" t="str">
        <f ca="1">IF(Table_17891012131114153456789101112131415161745678910111213141516234567891011121314345671534567981011121314153456789101112131415162345678910111213141545678910111213141516234567891023456789111213151610171856789101112131415162345678910113456789101112131417[[#This Row],[Wait Labour]]="","",IF(Table_17891012131114153456789101112131415161745678910111213141516234567891011121314345671534567981011121314153456789101112131415162345678910111213141545678910111213141516234567891023456789111213151610171856789101112131415162345678910113456789101112131417[[#This Row],[RD30]]="",(NOW()-Table_17891012131114153456789101112131415161745678910111213141516234567891011121314345671534567981011121314153456789101112131415162345678910111213141545678910111213141516234567891023456789111213151610171856789101112131415162345678910113456789101112131417[[#This Row],[Repair Time]])*24,(Table_17891012131114153456789101112131415161745678910111213141516234567891011121314345671534567981011121314153456789101112131415162345678910111213141545678910111213141516234567891023456789111213151610171856789101112131415162345678910113456789101112131417[[#This Row],[RD30]]-Table_17891012131114153456789101112131415161745678910111213141516234567891011121314345671534567981011121314153456789101112131415162345678910111213141545678910111213141516234567891023456789111213151610171856789101112131415162345678910113456789101112131417[[#This Row],[Repair Time]])*24))</f>
        <v/>
      </c>
      <c r="T31" s="53" t="str">
        <f>IF(Table_17891012131114153456789101112131415161745678910111213141516234567891011121314345671534567981011121314153456789101112131415162345678910111213141545678910111213141516234567891023456789111213151610171856789101112131415162345678910113456789101112131417[[#This Row],[Crew]]="","",IF(Table_17891012131114153456789101112131415161745678910111213141516234567891011121314345671534567981011121314153456789101112131415162345678910111213141545678910111213141516234567891023456789111213151610171856789101112131415162345678910113456789101112131417[[#This Row],[RD30]]="","N/Y Ready",IF(Table_17891012131114153456789101112131415161745678910111213141516234567891011121314345671534567981011121314153456789101112131415162345678910111213141545678910111213141516234567891023456789111213151610171856789101112131415162345678910113456789101112131417[[#This Row],[Repair Time2]]="N/Y Ready","N/Y Ready",SUM(Table_17891012131114153456789101112131415161745678910111213141516234567891011121314345671534567981011121314153456789101112131415162345678910111213141545678910111213141516234567891023456789111213151610171856789101112131415162345678910113456789101112131417[[#This Row],[Wait Labour]:[Repair Time2]]))))</f>
        <v/>
      </c>
    </row>
    <row r="32" spans="2:20" x14ac:dyDescent="0.2">
      <c r="B32" s="44"/>
      <c r="C32" s="44"/>
      <c r="D32" s="45" t="str">
        <f>IF($C32="","",IFERROR(INDEX([10]Database!$B$17:$E$115,MATCH($C32,[10]Database!$E$17:$E$115,0),2),"Unit TDK ada di database"))</f>
        <v/>
      </c>
      <c r="E32" s="44" t="str">
        <f>IF($C32="","",IFERROR(INDEX([10]Database!$B$17:$E$115,MATCH($C32,[10]Database!$E$17:$E$115,0),2),"Unit TDK ada di database"))</f>
        <v/>
      </c>
      <c r="F32" s="44"/>
      <c r="G32" s="46"/>
      <c r="H32" s="44" t="str">
        <f>IF($C32="","Z",IF($J32&amp;$K32="","WL",IF($K32="","RT","RD30")))</f>
        <v>Z</v>
      </c>
      <c r="I32" s="47"/>
      <c r="J32" s="47"/>
      <c r="K32" s="47"/>
      <c r="L32" s="48"/>
      <c r="M32" s="48"/>
      <c r="N32" s="49" t="str">
        <f>IFERROR(IF($M32="","",IF($L32="","Isi dulu HM awal.",IF($M32&lt;$L32,"HM M10RD&gt;Down ?.",$M32-$L32))),"Pakai KOMA bukan titik.")</f>
        <v/>
      </c>
      <c r="O32" s="50"/>
      <c r="P32" s="51"/>
      <c r="Q32" s="52"/>
      <c r="R32" s="53" t="str">
        <f ca="1">IF(Table_17891012131114153456789101112131415161745678910111213141516234567891011121314345671534567981011121314153456789101112131415162345678910111213141545678910111213141516234567891023456789111213151610171856789101112131415162345678910113456789101112131417[[#This Row],[Waiting Labour]]="","",IF(Table_17891012131114153456789101112131415161745678910111213141516234567891011121314345671534567981011121314153456789101112131415162345678910111213141545678910111213141516234567891023456789111213151610171856789101112131415162345678910113456789101112131417[[#This Row],[Repair Time]]="",(NOW()-Table_17891012131114153456789101112131415161745678910111213141516234567891011121314345671534567981011121314153456789101112131415162345678910111213141545678910111213141516234567891023456789111213151610171856789101112131415162345678910113456789101112131417[[#This Row],[Waiting Labour]])*24,(Table_17891012131114153456789101112131415161745678910111213141516234567891011121314345671534567981011121314153456789101112131415162345678910111213141545678910111213141516234567891023456789111213151610171856789101112131415162345678910113456789101112131417[[#This Row],[Repair Time]]-Table_17891012131114153456789101112131415161745678910111213141516234567891011121314345671534567981011121314153456789101112131415162345678910111213141545678910111213141516234567891023456789111213151610171856789101112131415162345678910113456789101112131417[[#This Row],[Waiting Labour]])*24))</f>
        <v/>
      </c>
      <c r="S32" s="53" t="str">
        <f ca="1">IF(Table_17891012131114153456789101112131415161745678910111213141516234567891011121314345671534567981011121314153456789101112131415162345678910111213141545678910111213141516234567891023456789111213151610171856789101112131415162345678910113456789101112131417[[#This Row],[Wait Labour]]="","",IF(Table_17891012131114153456789101112131415161745678910111213141516234567891011121314345671534567981011121314153456789101112131415162345678910111213141545678910111213141516234567891023456789111213151610171856789101112131415162345678910113456789101112131417[[#This Row],[RD30]]="",(NOW()-Table_17891012131114153456789101112131415161745678910111213141516234567891011121314345671534567981011121314153456789101112131415162345678910111213141545678910111213141516234567891023456789111213151610171856789101112131415162345678910113456789101112131417[[#This Row],[Repair Time]])*24,(Table_17891012131114153456789101112131415161745678910111213141516234567891011121314345671534567981011121314153456789101112131415162345678910111213141545678910111213141516234567891023456789111213151610171856789101112131415162345678910113456789101112131417[[#This Row],[RD30]]-Table_17891012131114153456789101112131415161745678910111213141516234567891011121314345671534567981011121314153456789101112131415162345678910111213141545678910111213141516234567891023456789111213151610171856789101112131415162345678910113456789101112131417[[#This Row],[Repair Time]])*24))</f>
        <v/>
      </c>
      <c r="T32" s="53" t="str">
        <f>IF(Table_17891012131114153456789101112131415161745678910111213141516234567891011121314345671534567981011121314153456789101112131415162345678910111213141545678910111213141516234567891023456789111213151610171856789101112131415162345678910113456789101112131417[[#This Row],[Crew]]="","",IF(Table_17891012131114153456789101112131415161745678910111213141516234567891011121314345671534567981011121314153456789101112131415162345678910111213141545678910111213141516234567891023456789111213151610171856789101112131415162345678910113456789101112131417[[#This Row],[RD30]]="","N/Y Ready",IF(Table_17891012131114153456789101112131415161745678910111213141516234567891011121314345671534567981011121314153456789101112131415162345678910111213141545678910111213141516234567891023456789111213151610171856789101112131415162345678910113456789101112131417[[#This Row],[Repair Time2]]="N/Y Ready","N/Y Ready",SUM(Table_17891012131114153456789101112131415161745678910111213141516234567891011121314345671534567981011121314153456789101112131415162345678910111213141545678910111213141516234567891023456789111213151610171856789101112131415162345678910113456789101112131417[[#This Row],[Wait Labour]:[Repair Time2]]))))</f>
        <v/>
      </c>
    </row>
    <row r="33" spans="2:20" x14ac:dyDescent="0.2">
      <c r="B33" s="44"/>
      <c r="C33" s="44"/>
      <c r="D33" s="45" t="str">
        <f>IF($C33="","",IFERROR(INDEX([10]Database!$B$17:$E$115,MATCH($C33,[10]Database!$E$17:$E$115,0),2),"Unit TDK ada di database"))</f>
        <v/>
      </c>
      <c r="E33" s="44" t="str">
        <f>IF($C33="","",IFERROR(INDEX([10]Database!$B$17:$E$115,MATCH($C33,[10]Database!$E$17:$E$115,0),2),"Unit TDK ada di database"))</f>
        <v/>
      </c>
      <c r="F33" s="44"/>
      <c r="G33" s="46"/>
      <c r="H33" s="44" t="str">
        <f>IF($C33="","Z",IF($J33&amp;$K33="","WL",IF($K33="","RT","RD30")))</f>
        <v>Z</v>
      </c>
      <c r="I33" s="47"/>
      <c r="J33" s="47"/>
      <c r="K33" s="47"/>
      <c r="L33" s="48"/>
      <c r="M33" s="48"/>
      <c r="N33" s="49" t="str">
        <f>IFERROR(IF($M33="","",IF($L33="","Isi dulu HM awal.",IF($M33&lt;$L33,"HM M10RD&gt;Down ?.",$M33-$L33))),"Pakai KOMA bukan titik.")</f>
        <v/>
      </c>
      <c r="O33" s="50"/>
      <c r="P33" s="51"/>
      <c r="Q33" s="52"/>
      <c r="R33" s="53" t="str">
        <f ca="1">IF(Table_17891012131114153456789101112131415161745678910111213141516234567891011121314345671534567981011121314153456789101112131415162345678910111213141545678910111213141516234567891023456789111213151610171856789101112131415162345678910113456789101112131417[[#This Row],[Waiting Labour]]="","",IF(Table_17891012131114153456789101112131415161745678910111213141516234567891011121314345671534567981011121314153456789101112131415162345678910111213141545678910111213141516234567891023456789111213151610171856789101112131415162345678910113456789101112131417[[#This Row],[Repair Time]]="",(NOW()-Table_17891012131114153456789101112131415161745678910111213141516234567891011121314345671534567981011121314153456789101112131415162345678910111213141545678910111213141516234567891023456789111213151610171856789101112131415162345678910113456789101112131417[[#This Row],[Waiting Labour]])*24,(Table_17891012131114153456789101112131415161745678910111213141516234567891011121314345671534567981011121314153456789101112131415162345678910111213141545678910111213141516234567891023456789111213151610171856789101112131415162345678910113456789101112131417[[#This Row],[Repair Time]]-Table_17891012131114153456789101112131415161745678910111213141516234567891011121314345671534567981011121314153456789101112131415162345678910111213141545678910111213141516234567891023456789111213151610171856789101112131415162345678910113456789101112131417[[#This Row],[Waiting Labour]])*24))</f>
        <v/>
      </c>
      <c r="S33" s="53" t="str">
        <f ca="1">IF(Table_17891012131114153456789101112131415161745678910111213141516234567891011121314345671534567981011121314153456789101112131415162345678910111213141545678910111213141516234567891023456789111213151610171856789101112131415162345678910113456789101112131417[[#This Row],[Wait Labour]]="","",IF(Table_17891012131114153456789101112131415161745678910111213141516234567891011121314345671534567981011121314153456789101112131415162345678910111213141545678910111213141516234567891023456789111213151610171856789101112131415162345678910113456789101112131417[[#This Row],[RD30]]="",(NOW()-Table_17891012131114153456789101112131415161745678910111213141516234567891011121314345671534567981011121314153456789101112131415162345678910111213141545678910111213141516234567891023456789111213151610171856789101112131415162345678910113456789101112131417[[#This Row],[Repair Time]])*24,(Table_17891012131114153456789101112131415161745678910111213141516234567891011121314345671534567981011121314153456789101112131415162345678910111213141545678910111213141516234567891023456789111213151610171856789101112131415162345678910113456789101112131417[[#This Row],[RD30]]-Table_17891012131114153456789101112131415161745678910111213141516234567891011121314345671534567981011121314153456789101112131415162345678910111213141545678910111213141516234567891023456789111213151610171856789101112131415162345678910113456789101112131417[[#This Row],[Repair Time]])*24))</f>
        <v/>
      </c>
      <c r="T33" s="53" t="str">
        <f>IF(Table_17891012131114153456789101112131415161745678910111213141516234567891011121314345671534567981011121314153456789101112131415162345678910111213141545678910111213141516234567891023456789111213151610171856789101112131415162345678910113456789101112131417[[#This Row],[Crew]]="","",IF(Table_17891012131114153456789101112131415161745678910111213141516234567891011121314345671534567981011121314153456789101112131415162345678910111213141545678910111213141516234567891023456789111213151610171856789101112131415162345678910113456789101112131417[[#This Row],[RD30]]="","N/Y Ready",IF(Table_17891012131114153456789101112131415161745678910111213141516234567891011121314345671534567981011121314153456789101112131415162345678910111213141545678910111213141516234567891023456789111213151610171856789101112131415162345678910113456789101112131417[[#This Row],[Repair Time2]]="N/Y Ready","N/Y Ready",SUM(Table_17891012131114153456789101112131415161745678910111213141516234567891011121314345671534567981011121314153456789101112131415162345678910111213141545678910111213141516234567891023456789111213151610171856789101112131415162345678910113456789101112131417[[#This Row],[Wait Labour]:[Repair Time2]]))))</f>
        <v/>
      </c>
    </row>
    <row r="35" spans="2:20" x14ac:dyDescent="0.2">
      <c r="R35" s="57">
        <f ca="1">NOW()</f>
        <v>46305.485871990742</v>
      </c>
    </row>
  </sheetData>
  <mergeCells count="7">
    <mergeCell ref="H3:H4"/>
    <mergeCell ref="B3:B4"/>
    <mergeCell ref="C3:C4"/>
    <mergeCell ref="D3:D4"/>
    <mergeCell ref="E3:E4"/>
    <mergeCell ref="F3:F4"/>
    <mergeCell ref="G3:G4"/>
  </mergeCells>
  <conditionalFormatting sqref="H6:H33">
    <cfRule type="containsText" dxfId="3" priority="1" operator="containsText" text="z">
      <formula>NOT(ISERROR(SEARCH("z",H6)))</formula>
    </cfRule>
    <cfRule type="containsText" dxfId="2" priority="2" operator="containsText" text="RD30">
      <formula>NOT(ISERROR(SEARCH("RD30",H6)))</formula>
    </cfRule>
    <cfRule type="containsText" dxfId="1" priority="3" operator="containsText" text="RT">
      <formula>NOT(ISERROR(SEARCH("RT",H6)))</formula>
    </cfRule>
    <cfRule type="containsText" dxfId="0" priority="4" operator="containsText" text="WL">
      <formula>NOT(ISERROR(SEARCH("WL",H6)))</formula>
    </cfRule>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136824-804B-441A-A118-37008C8B8B14}">
  <dimension ref="A1:O6"/>
  <sheetViews>
    <sheetView workbookViewId="0">
      <selection activeCell="G5" sqref="G5"/>
    </sheetView>
  </sheetViews>
  <sheetFormatPr defaultRowHeight="15" x14ac:dyDescent="0.25"/>
  <cols>
    <col min="1" max="1" width="10" customWidth="1"/>
    <col min="2" max="2" width="14.42578125" customWidth="1"/>
    <col min="3" max="3" width="14" customWidth="1"/>
    <col min="4" max="4" width="12.5703125" customWidth="1"/>
    <col min="5" max="5" width="17.5703125" customWidth="1"/>
    <col min="6" max="6" width="12.140625" customWidth="1"/>
    <col min="7" max="7" width="24.42578125" customWidth="1"/>
    <col min="8" max="8" width="7.28515625" bestFit="1" customWidth="1"/>
  </cols>
  <sheetData>
    <row r="1" spans="1:15" x14ac:dyDescent="0.25">
      <c r="A1" s="55" t="s">
        <v>3</v>
      </c>
      <c r="B1" s="55" t="s">
        <v>71</v>
      </c>
      <c r="C1" s="55" t="s">
        <v>70</v>
      </c>
      <c r="D1" s="55" t="s">
        <v>67</v>
      </c>
      <c r="E1" s="55" t="s">
        <v>68</v>
      </c>
      <c r="F1" s="55" t="s">
        <v>69</v>
      </c>
      <c r="G1" s="55" t="s">
        <v>72</v>
      </c>
      <c r="H1" s="56" t="s">
        <v>73</v>
      </c>
    </row>
    <row r="2" spans="1:15" x14ac:dyDescent="0.25">
      <c r="A2">
        <v>777</v>
      </c>
      <c r="B2">
        <v>9</v>
      </c>
      <c r="C2">
        <v>24</v>
      </c>
      <c r="D2" s="54">
        <f ca="1">TODAY()</f>
        <v>46305</v>
      </c>
      <c r="E2" s="54">
        <f ca="1">EOMONTH(D2,0)</f>
        <v>46326</v>
      </c>
      <c r="F2">
        <f ca="1">_xlfn.NUMBERVALUE(DAY(E2))</f>
        <v>31</v>
      </c>
      <c r="G2">
        <f ca="1">F2*C2</f>
        <v>744</v>
      </c>
      <c r="H2">
        <f ca="1">G2*12%</f>
        <v>89.28</v>
      </c>
      <c r="J2" t="s">
        <v>74</v>
      </c>
      <c r="M2" t="s">
        <v>79</v>
      </c>
    </row>
    <row r="3" spans="1:15" x14ac:dyDescent="0.25">
      <c r="J3" t="s">
        <v>75</v>
      </c>
      <c r="L3" t="s">
        <v>78</v>
      </c>
      <c r="M3" t="s">
        <v>80</v>
      </c>
      <c r="N3" t="s">
        <v>82</v>
      </c>
      <c r="O3" t="s">
        <v>81</v>
      </c>
    </row>
    <row r="4" spans="1:15" x14ac:dyDescent="0.25">
      <c r="J4" t="s">
        <v>76</v>
      </c>
    </row>
    <row r="5" spans="1:15" x14ac:dyDescent="0.25">
      <c r="A5">
        <v>330</v>
      </c>
      <c r="B5">
        <v>24</v>
      </c>
      <c r="J5" t="s">
        <v>77</v>
      </c>
    </row>
    <row r="6" spans="1:15" x14ac:dyDescent="0.25">
      <c r="A6">
        <v>320</v>
      </c>
      <c r="B6">
        <v>48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06 Okt 2026 NS</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Yugo Nusa Wiryasanjani</dc:creator>
  <cp:lastModifiedBy>Muhammad Ismail</cp:lastModifiedBy>
  <dcterms:created xsi:type="dcterms:W3CDTF">2026-10-07T01:13:14Z</dcterms:created>
  <dcterms:modified xsi:type="dcterms:W3CDTF">2026-10-11T14:17:06Z</dcterms:modified>
</cp:coreProperties>
</file>